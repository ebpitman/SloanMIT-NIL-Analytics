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itman/Desktop/Conferences/2023SloanMITSports/"/>
    </mc:Choice>
  </mc:AlternateContent>
  <xr:revisionPtr revIDLastSave="0" documentId="8_{45DECB64-54E8-3B44-A9FA-391A6C2F73E8}" xr6:coauthVersionLast="47" xr6:coauthVersionMax="47" xr10:uidLastSave="{00000000-0000-0000-0000-000000000000}"/>
  <bookViews>
    <workbookView xWindow="820" yWindow="500" windowWidth="28800" windowHeight="16300" firstSheet="11" activeTab="16" xr2:uid="{E4F1B9B3-A92B-5649-9777-57B2B737638B}"/>
  </bookViews>
  <sheets>
    <sheet name="Population &amp; Dispoable Income" sheetId="7" r:id="rId1"/>
    <sheet name="Apparel Brand Partnerships" sheetId="6" r:id="rId2"/>
    <sheet name="Collectives" sheetId="5" r:id="rId3"/>
    <sheet name="NCAA Tourneys (since 2016)" sheetId="20" r:id="rId4"/>
    <sheet name="Top Businesses (Illinois)" sheetId="2" r:id="rId5"/>
    <sheet name="Top Businesses (Indiana)" sheetId="8" r:id="rId6"/>
    <sheet name="Top Businesses (Iowa)" sheetId="9" r:id="rId7"/>
    <sheet name="Top Businesses (Maryland)" sheetId="10" r:id="rId8"/>
    <sheet name="Top Businesses (Michigan)" sheetId="11" r:id="rId9"/>
    <sheet name="Top Businesses (Michigan State)" sheetId="12" r:id="rId10"/>
    <sheet name="Top Businesses (Minnesota)" sheetId="13" r:id="rId11"/>
    <sheet name="Top Businesses (Nebraska)" sheetId="14" r:id="rId12"/>
    <sheet name="Top Businesses (Ohio State)" sheetId="15" r:id="rId13"/>
    <sheet name="Top Businesses (Penn State)" sheetId="16" r:id="rId14"/>
    <sheet name="Top Businesses (Purdue)" sheetId="17" r:id="rId15"/>
    <sheet name="Top Busineses (Rutgers)" sheetId="18" r:id="rId16"/>
    <sheet name="Top Businesses (Wisconsin)" sheetId="19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6" l="1"/>
  <c r="F2" i="6"/>
  <c r="F3" i="6"/>
  <c r="F4" i="6"/>
  <c r="F5" i="6"/>
  <c r="F6" i="6"/>
  <c r="F7" i="6"/>
  <c r="F8" i="6"/>
  <c r="F9" i="6"/>
  <c r="F10" i="6"/>
  <c r="F14" i="6"/>
</calcChain>
</file>

<file path=xl/sharedStrings.xml><?xml version="1.0" encoding="utf-8"?>
<sst xmlns="http://schemas.openxmlformats.org/spreadsheetml/2006/main" count="373" uniqueCount="271">
  <si>
    <t xml:space="preserve">The Varsity Collective (Wisconsin) </t>
  </si>
  <si>
    <t>Knights of the Raritan (Rutgers)</t>
  </si>
  <si>
    <t>Boilermaker Alliance (Purdue)</t>
  </si>
  <si>
    <t>Success With Honor (Penn State)</t>
  </si>
  <si>
    <t>Nittany Commonwealth (Penn State)</t>
  </si>
  <si>
    <t>Happy Valley Talent (Penn State)</t>
  </si>
  <si>
    <t>Columbus NIL Club (Ohio State)</t>
  </si>
  <si>
    <t>The Foundation (Ohio State)</t>
  </si>
  <si>
    <t>Cohesion Foundation (Ohio State)</t>
  </si>
  <si>
    <t>N100 (Nebraska)</t>
  </si>
  <si>
    <t>Big Red Fan Club (Nebraska)</t>
  </si>
  <si>
    <t>Twin Cities NIL Club (Minnesota)</t>
  </si>
  <si>
    <t>This is Sparta! (Michigan State)</t>
  </si>
  <si>
    <t>East Lansing NIL Club (Michigan State)</t>
  </si>
  <si>
    <t>Ann Arbor NIL Club (Michigan)</t>
  </si>
  <si>
    <t>Stadium and Main (Michigan)</t>
  </si>
  <si>
    <t>MGoDAO (Michigan)</t>
  </si>
  <si>
    <t>Turtle NIL (Maryland)</t>
  </si>
  <si>
    <t>The Swarm Collective (Iowa)</t>
  </si>
  <si>
    <t>Iowa City NIL Club (Iowa)</t>
  </si>
  <si>
    <t>Hoosier Hysterics NIL Collective (Indiana)</t>
  </si>
  <si>
    <t>Hoosiers for Good (Indiana)</t>
  </si>
  <si>
    <t>Illini Guardians (Illinois)</t>
  </si>
  <si>
    <t xml:space="preserve">Notes </t>
  </si>
  <si>
    <t>Year Founded</t>
  </si>
  <si>
    <t xml:space="preserve">Name of Collective </t>
  </si>
  <si>
    <t>PREVIOUSLY WITH ADIDAS (2015)</t>
  </si>
  <si>
    <t>Under Armour</t>
  </si>
  <si>
    <t xml:space="preserve">Wisconsin </t>
  </si>
  <si>
    <r>
      <t xml:space="preserve">Adidas deal reportedly just north of $10 million total value - </t>
    </r>
    <r>
      <rPr>
        <b/>
        <sz val="12"/>
        <color theme="1"/>
        <rFont val="Calibri"/>
        <family val="2"/>
        <scheme val="minor"/>
      </rPr>
      <t>PREVIOUSLY WITH NIKE (2016)</t>
    </r>
  </si>
  <si>
    <t>Adidas</t>
  </si>
  <si>
    <t xml:space="preserve">Rutgers </t>
  </si>
  <si>
    <t xml:space="preserve">previous deal signed in 2013 = $2M per year; with Nike since at least 2007 </t>
  </si>
  <si>
    <t>N/A</t>
  </si>
  <si>
    <t>Nike</t>
  </si>
  <si>
    <t xml:space="preserve">Purdue </t>
  </si>
  <si>
    <t>exempt from PA's FOIA (Right to Know Law) - contract unavailable; reportedly under contract through 2022; has been with Nike since 1993</t>
  </si>
  <si>
    <t xml:space="preserve">Penn State </t>
  </si>
  <si>
    <t>with Nike since 1996</t>
  </si>
  <si>
    <t xml:space="preserve">Ohio State </t>
  </si>
  <si>
    <t>with Adidas since 1995</t>
  </si>
  <si>
    <t xml:space="preserve">Nebraska </t>
  </si>
  <si>
    <t xml:space="preserve">reportedly extended in 2020, for 2-3 years (value undisclosed); has been with Nike since at least 2007 </t>
  </si>
  <si>
    <t xml:space="preserve">Minnesota </t>
  </si>
  <si>
    <t>previous deal with Nike in 2008</t>
  </si>
  <si>
    <t xml:space="preserve">Michigan State </t>
  </si>
  <si>
    <t xml:space="preserve">PREVIOUSLY WITH ADIDAS (2016); Jordan is Nike brand </t>
  </si>
  <si>
    <t>Jordan</t>
  </si>
  <si>
    <t>Michigan</t>
  </si>
  <si>
    <t xml:space="preserve">with Under Armour since 2004; UA struggling - potential change? (sides say they are committed to each other) </t>
  </si>
  <si>
    <t xml:space="preserve">Maryland </t>
  </si>
  <si>
    <r>
      <t xml:space="preserve">reportedly extended in 2018 (undisclosed terms); </t>
    </r>
    <r>
      <rPr>
        <sz val="12"/>
        <color theme="1"/>
        <rFont val="Calibri"/>
        <family val="2"/>
        <scheme val="minor"/>
      </rPr>
      <t>with Nike since at least 2004</t>
    </r>
  </si>
  <si>
    <t>Iowa</t>
  </si>
  <si>
    <t>previously with Nike (2004)</t>
  </si>
  <si>
    <t xml:space="preserve">Indiana </t>
  </si>
  <si>
    <t xml:space="preserve"> with Nike back to 1996</t>
  </si>
  <si>
    <t xml:space="preserve">Illinois </t>
  </si>
  <si>
    <t>Per year value</t>
  </si>
  <si>
    <t>Contract Length (years)</t>
  </si>
  <si>
    <t>Contract Value</t>
  </si>
  <si>
    <t xml:space="preserve">Year 1 of Contract </t>
  </si>
  <si>
    <t xml:space="preserve">Brand </t>
  </si>
  <si>
    <t xml:space="preserve">School </t>
  </si>
  <si>
    <t>*Data from Bureau of Economic Analysis</t>
  </si>
  <si>
    <t>Madison, WI</t>
  </si>
  <si>
    <t>New Brunswick, NJ</t>
  </si>
  <si>
    <t>West Lafayette, IN</t>
  </si>
  <si>
    <t>Purdue University</t>
  </si>
  <si>
    <t>State College, PA</t>
  </si>
  <si>
    <t>Columbus, OH</t>
  </si>
  <si>
    <t>Ohio State University</t>
  </si>
  <si>
    <t>Lincoln, NE</t>
  </si>
  <si>
    <t>University of Nebraska-Lincoln</t>
  </si>
  <si>
    <t>Minneapolis, MN</t>
  </si>
  <si>
    <t>University of Minnesota</t>
  </si>
  <si>
    <t>East Lansing, MI</t>
  </si>
  <si>
    <t>Ann Arbor, MI</t>
  </si>
  <si>
    <t>University of Michigan</t>
  </si>
  <si>
    <t>College Park, MD</t>
  </si>
  <si>
    <t>University of Maryland</t>
  </si>
  <si>
    <t>Iowa City, IA</t>
  </si>
  <si>
    <t>University of Iowa</t>
  </si>
  <si>
    <t>Bloomington, IN</t>
  </si>
  <si>
    <t>Champaign, IL</t>
  </si>
  <si>
    <t>University of Illinois</t>
  </si>
  <si>
    <t>2021 Income avail. 12/8/22</t>
  </si>
  <si>
    <t>2020 Per Capita Personal Income</t>
  </si>
  <si>
    <t>2019 Per Capita Personal Income</t>
  </si>
  <si>
    <t>2018 Per Capita Personal Income</t>
  </si>
  <si>
    <t>County:</t>
  </si>
  <si>
    <t>City:</t>
  </si>
  <si>
    <t>Champaign</t>
  </si>
  <si>
    <t>Monroe</t>
  </si>
  <si>
    <t>Johnson</t>
  </si>
  <si>
    <t>Prince George's</t>
  </si>
  <si>
    <t>Washtenaw</t>
  </si>
  <si>
    <t>Ingham</t>
  </si>
  <si>
    <t>Lancaster</t>
  </si>
  <si>
    <t>Franklin</t>
  </si>
  <si>
    <t xml:space="preserve">Hennepin </t>
  </si>
  <si>
    <t>Centre</t>
  </si>
  <si>
    <t>Tippecanoe</t>
  </si>
  <si>
    <t>Middlesex</t>
  </si>
  <si>
    <t>Dane</t>
  </si>
  <si>
    <t>City Population (2021)</t>
  </si>
  <si>
    <t>County Real GDP (2020) [thousands of $]</t>
  </si>
  <si>
    <t>University of Indiana</t>
  </si>
  <si>
    <t xml:space="preserve">Michigan State University </t>
  </si>
  <si>
    <t>Penn State University</t>
  </si>
  <si>
    <t>Rutgers University-New Brunswick</t>
  </si>
  <si>
    <t xml:space="preserve">University of Wisconsin-Madison </t>
  </si>
  <si>
    <t>Big Ten Schools:</t>
  </si>
  <si>
    <t>Company Name</t>
  </si>
  <si>
    <t xml:space="preserve">Cook Group, Inc. </t>
  </si>
  <si>
    <t>IU Health Bloomington Hospital</t>
  </si>
  <si>
    <t>University of Iowa Hospitals</t>
  </si>
  <si>
    <t xml:space="preserve">Veteran's Administration Hospital </t>
  </si>
  <si>
    <t xml:space="preserve">Mercy Hospital </t>
  </si>
  <si>
    <t>Hy-Vee</t>
  </si>
  <si>
    <t>United Parcel Service (UPS)</t>
  </si>
  <si>
    <t>NASA - Goddard Space Flight Center</t>
  </si>
  <si>
    <t>Giant Food</t>
  </si>
  <si>
    <t>Verizon</t>
  </si>
  <si>
    <t>Dimensions Healthcare System</t>
  </si>
  <si>
    <t>St. Joseph Mercy Health Systems</t>
  </si>
  <si>
    <t>General Motors Proving Grounds</t>
  </si>
  <si>
    <t>VA Ann Arbor Healthcare System</t>
  </si>
  <si>
    <t xml:space="preserve">Toyota Technical Center </t>
  </si>
  <si>
    <t>Faurecia Interior Systems</t>
  </si>
  <si>
    <t>IHA Health Services Corporation</t>
  </si>
  <si>
    <t xml:space="preserve">Domino's Pizza (headquarters) </t>
  </si>
  <si>
    <t>Sparrow Health System</t>
  </si>
  <si>
    <t>General Motors</t>
  </si>
  <si>
    <t>McLaren Health</t>
  </si>
  <si>
    <t>Auto-Owners Insurance Group</t>
  </si>
  <si>
    <t xml:space="preserve">Jackson National Life Ins. Co. </t>
  </si>
  <si>
    <t xml:space="preserve">Peckham, Inc. </t>
  </si>
  <si>
    <t xml:space="preserve">Dart Container Corp. </t>
  </si>
  <si>
    <t># of employees</t>
  </si>
  <si>
    <t xml:space="preserve">Bryan Health Medical Center </t>
  </si>
  <si>
    <t xml:space="preserve">Ameritas Life Insurance Corp. </t>
  </si>
  <si>
    <t xml:space="preserve">B &amp; R Stores, Inc. </t>
  </si>
  <si>
    <t xml:space="preserve">BNSF Railway </t>
  </si>
  <si>
    <t xml:space="preserve">Duncan Aviation, Inc. </t>
  </si>
  <si>
    <t>Hy-Vee Food Stores</t>
  </si>
  <si>
    <t>JPMorgan Chase</t>
  </si>
  <si>
    <t>Nationwide (HQ)</t>
  </si>
  <si>
    <t>Honda (North America HQ)</t>
  </si>
  <si>
    <t xml:space="preserve">Cardinal Health </t>
  </si>
  <si>
    <t xml:space="preserve">L Brands </t>
  </si>
  <si>
    <t>Huntington Bancshares</t>
  </si>
  <si>
    <t>Amazon</t>
  </si>
  <si>
    <t xml:space="preserve">American Electric Power </t>
  </si>
  <si>
    <t xml:space="preserve">Alliance Data </t>
  </si>
  <si>
    <t xml:space="preserve">Abercrombie &amp; Fitch </t>
  </si>
  <si>
    <t xml:space="preserve">Safelite </t>
  </si>
  <si>
    <t>Mount Nittany Medical Center</t>
  </si>
  <si>
    <t xml:space="preserve">Subaru of IN Automotive, Inc. </t>
  </si>
  <si>
    <t xml:space="preserve">State Farm Insurance </t>
  </si>
  <si>
    <t xml:space="preserve">Robert Wood Johnson University Hospital </t>
  </si>
  <si>
    <t>Novo Nordisk</t>
  </si>
  <si>
    <t xml:space="preserve">Wakefern Food Corp. </t>
  </si>
  <si>
    <t>J.F.K. Medical Center</t>
  </si>
  <si>
    <t>Bristol-Mters Squibb</t>
  </si>
  <si>
    <t>St. Peter's Healthcare System</t>
  </si>
  <si>
    <t>Silverline Building Products</t>
  </si>
  <si>
    <t>Johnson &amp; Johnson</t>
  </si>
  <si>
    <t xml:space="preserve">Raritan Bay Medical Center </t>
  </si>
  <si>
    <t>Home Depot</t>
  </si>
  <si>
    <t>American Family Insurance</t>
  </si>
  <si>
    <t>Baxter Healthcare Pharmaceuticals</t>
  </si>
  <si>
    <t>Mariott International/Gaylord Resort and Convention Center</t>
  </si>
  <si>
    <t>Shoppers Food Warehouse</t>
  </si>
  <si>
    <t>MedStar Southern Maryland Hospital Center</t>
  </si>
  <si>
    <t>Safeway</t>
  </si>
  <si>
    <t>Melwood</t>
  </si>
  <si>
    <t>Target</t>
  </si>
  <si>
    <t>Doctors Community Hospital</t>
  </si>
  <si>
    <t xml:space="preserve">Adelphi Laboratory Center </t>
  </si>
  <si>
    <t>Walmart</t>
  </si>
  <si>
    <t>https://commerce.maryland.gov/Documents/ResearchDocument/MajorEmployersInPrinceGeorgesCounty.pdf</t>
  </si>
  <si>
    <t>Thomson Reuters</t>
  </si>
  <si>
    <t>Meijer Distribution Center</t>
  </si>
  <si>
    <t>https://www.purelansing.com/topemployers</t>
  </si>
  <si>
    <t>(2019 data)</t>
  </si>
  <si>
    <t>Hennepin Healthcare</t>
  </si>
  <si>
    <t>Wells Fargo</t>
  </si>
  <si>
    <t>Ameriprise</t>
  </si>
  <si>
    <t>U.S. Bank</t>
  </si>
  <si>
    <t>Xcel Energy</t>
  </si>
  <si>
    <t>RBC Wealth Management</t>
  </si>
  <si>
    <t xml:space="preserve">Thrivent </t>
  </si>
  <si>
    <t xml:space="preserve">Strategic Education, Inc. </t>
  </si>
  <si>
    <t xml:space="preserve">Kawasaki Motors Manufacturing Corp. </t>
  </si>
  <si>
    <t>Madonna Rehabilitation Hospital</t>
  </si>
  <si>
    <t xml:space="preserve">Molex, Inc. </t>
  </si>
  <si>
    <t xml:space="preserve">Nelnet, Inc. </t>
  </si>
  <si>
    <t>Saint Elizabeth Health Systems</t>
  </si>
  <si>
    <t xml:space="preserve">Wal-Mart Stores, Inc. </t>
  </si>
  <si>
    <t>Whirlpool</t>
  </si>
  <si>
    <t>Discover</t>
  </si>
  <si>
    <t>XPO Logistics</t>
  </si>
  <si>
    <t>DHL (Americas HQ)</t>
  </si>
  <si>
    <t>Abbott Nutrition (HQ)</t>
  </si>
  <si>
    <t>Spectrum</t>
  </si>
  <si>
    <t>UnitedHealth</t>
  </si>
  <si>
    <t>TS Tech (Americas HQ)</t>
  </si>
  <si>
    <t>Teleperformance</t>
  </si>
  <si>
    <t>UPS</t>
  </si>
  <si>
    <t>Battelle (HQ)</t>
  </si>
  <si>
    <t xml:space="preserve">Ascena Retail Group </t>
  </si>
  <si>
    <t xml:space="preserve">Worthington Industries (HQ) </t>
  </si>
  <si>
    <t xml:space="preserve">Gap </t>
  </si>
  <si>
    <t>PNC Financial Services</t>
  </si>
  <si>
    <t>Zulily</t>
  </si>
  <si>
    <t>CareWorks MCO/York Risk Services</t>
  </si>
  <si>
    <t>CAS (HQ)</t>
  </si>
  <si>
    <t>State Farm Insurance</t>
  </si>
  <si>
    <t xml:space="preserve">Stanley Electric </t>
  </si>
  <si>
    <t>NetJets (HQ)</t>
  </si>
  <si>
    <t>Express Scripts</t>
  </si>
  <si>
    <t>Aetna</t>
  </si>
  <si>
    <t>Big Lots (HQ)</t>
  </si>
  <si>
    <t>Scotss Miracle-Gro (HQ)</t>
  </si>
  <si>
    <t>Designer Brands (HQ)</t>
  </si>
  <si>
    <t>FedEx</t>
  </si>
  <si>
    <t>Columbia Gas of Ohio</t>
  </si>
  <si>
    <t xml:space="preserve">Hikma </t>
  </si>
  <si>
    <t>Fiserv</t>
  </si>
  <si>
    <t xml:space="preserve">Owens Corning </t>
  </si>
  <si>
    <t>United Parcel Service</t>
  </si>
  <si>
    <t>Amerada Hess Corporation</t>
  </si>
  <si>
    <t xml:space="preserve">Walmart Stores Inc. </t>
  </si>
  <si>
    <t xml:space="preserve">Prudential Insurance </t>
  </si>
  <si>
    <t>Aetna/US Healthcare</t>
  </si>
  <si>
    <t>BASF Catalyst, LLC</t>
  </si>
  <si>
    <t>Colgate-Palmolive</t>
  </si>
  <si>
    <t>Dow Jones &amp; Company</t>
  </si>
  <si>
    <t>Ericsson</t>
  </si>
  <si>
    <t>https://www.edisonchamber.com/major-employers-in-middlesex-county</t>
  </si>
  <si>
    <t>UW Health</t>
  </si>
  <si>
    <t>Epic</t>
  </si>
  <si>
    <t>SSM Health</t>
  </si>
  <si>
    <t>Exact Sciences Corp.</t>
  </si>
  <si>
    <t>UnityPoint Health-Meriter</t>
  </si>
  <si>
    <t xml:space="preserve">Thermo Fisher Scientific </t>
  </si>
  <si>
    <t>WPS Health Solutions</t>
  </si>
  <si>
    <t xml:space="preserve">Labcorp Drug Development </t>
  </si>
  <si>
    <t xml:space="preserve">CUNA Mutual Group </t>
  </si>
  <si>
    <t xml:space="preserve">Promega Corp. </t>
  </si>
  <si>
    <t>Carle</t>
  </si>
  <si>
    <t>https://www.johnsoncountyiowa.gov/sites/default/files/2019-09/2018_Comprehensive_Plan_Volume_1_chapter_3.pdf</t>
  </si>
  <si>
    <t>(2017 data)</t>
  </si>
  <si>
    <t>Pearson Educational Measurement</t>
  </si>
  <si>
    <t xml:space="preserve">ACT, Inc. </t>
  </si>
  <si>
    <t xml:space="preserve">https://annarborusa.org/news/top-regional-employers/ </t>
  </si>
  <si>
    <t xml:space="preserve">https://tcbmag.com/target-retains-crown-as-top-employer-in-minneapolis/ </t>
  </si>
  <si>
    <t xml:space="preserve">https://www.bea.gov/sites/default/files/2021-11/lapi1121.pdf   </t>
  </si>
  <si>
    <t xml:space="preserve">https://www.champaigncountyedc.org/area-facts </t>
  </si>
  <si>
    <t>https://web.chamberbloomington.org/business_center/major_employers.aspx</t>
  </si>
  <si>
    <t xml:space="preserve">https://www.selectlincoln.org/lincoln-life/work </t>
  </si>
  <si>
    <t xml:space="preserve">https://www.nbc4i.com/news/local-news/list-largest-private-employers-in-columbus-and-central-ohio/ </t>
  </si>
  <si>
    <t xml:space="preserve">https://www.workstats.dli.pa.gov/Documents/Top%2050/Centre_County_Top_50.pdf </t>
  </si>
  <si>
    <t xml:space="preserve">https://lev.vc/tippecanoe-indiana/ </t>
  </si>
  <si>
    <t xml:space="preserve">https://pubs.royle.com/publication/?m=62546&amp;i=759146&amp;p=36&amp;ver=html5 </t>
  </si>
  <si>
    <t>Champions Circle (Michigan)</t>
  </si>
  <si>
    <t>The Boiler Trust (Purdue)</t>
  </si>
  <si>
    <t>School</t>
  </si>
  <si>
    <t>NCAA Tourney appearances (since 2016)</t>
  </si>
  <si>
    <t>(last 5 NCAA tournaments - accounting for cancelled COVID year)</t>
  </si>
  <si>
    <t>https://www.sports-reference.com/cbb/postseason/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</si>
</sst>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8" formatCode="&quot;$&quot;#,##0.00_);[Red]\(&quot;$&quot;#,##0.00\)"/>
  </numFmts>
  <fonts count="14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8B6802"/>
      <name val="Calibri"/>
      <family val="2"/>
      <scheme val="minor"/>
    </font>
    <font>
      <b/>
      <sz val="12"/>
      <color rgb="FFB9B9B9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2"/>
      <color rgb="FFFFC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2"/>
      <color theme="7"/>
      <name val="Calibri"/>
      <family val="2"/>
      <scheme val="minor"/>
    </font>
    <font>
      <b/>
      <sz val="12"/>
      <color theme="5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0106"/>
        <bgColor indexed="64"/>
      </patternFill>
    </fill>
    <fill>
      <patternFill patternType="solid">
        <fgColor rgb="FFFF0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50A2D"/>
        <bgColor indexed="64"/>
      </patternFill>
    </fill>
    <fill>
      <patternFill patternType="solid">
        <fgColor rgb="FFC21D1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541900"/>
        <bgColor indexed="64"/>
      </patternFill>
    </fill>
    <fill>
      <patternFill patternType="solid">
        <fgColor rgb="FF0C3F00"/>
        <bgColor indexed="64"/>
      </patternFill>
    </fill>
    <fill>
      <patternFill patternType="solid">
        <fgColor rgb="FF151967"/>
        <bgColor indexed="64"/>
      </patternFill>
    </fill>
    <fill>
      <patternFill patternType="solid">
        <fgColor rgb="FF8E000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0" fillId="0" borderId="0"/>
    <xf numFmtId="0" fontId="12" fillId="0" borderId="0" applyNumberForma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0" fontId="1" fillId="2" borderId="0" xfId="0" applyFont="1" applyFill="1"/>
    <xf numFmtId="0" fontId="2" fillId="3" borderId="0" xfId="0" applyFont="1" applyFill="1"/>
    <xf numFmtId="0" fontId="3" fillId="4" borderId="0" xfId="0" applyFont="1" applyFill="1"/>
    <xf numFmtId="0" fontId="1" fillId="5" borderId="0" xfId="0" applyFont="1" applyFill="1"/>
    <xf numFmtId="0" fontId="4" fillId="6" borderId="0" xfId="0" applyFont="1" applyFill="1"/>
    <xf numFmtId="0" fontId="5" fillId="7" borderId="0" xfId="0" applyFont="1" applyFill="1"/>
    <xf numFmtId="0" fontId="6" fillId="8" borderId="0" xfId="0" applyFont="1" applyFill="1"/>
    <xf numFmtId="0" fontId="1" fillId="9" borderId="0" xfId="0" applyFont="1" applyFill="1"/>
    <xf numFmtId="0" fontId="7" fillId="10" borderId="0" xfId="0" applyFont="1" applyFill="1"/>
    <xf numFmtId="0" fontId="7" fillId="7" borderId="0" xfId="0" applyFont="1" applyFill="1"/>
    <xf numFmtId="0" fontId="8" fillId="4" borderId="0" xfId="0" applyFont="1" applyFill="1"/>
    <xf numFmtId="0" fontId="1" fillId="11" borderId="0" xfId="0" applyFont="1" applyFill="1"/>
    <xf numFmtId="0" fontId="9" fillId="12" borderId="0" xfId="0" applyFont="1" applyFill="1"/>
    <xf numFmtId="0" fontId="2" fillId="13" borderId="0" xfId="0" applyFont="1" applyFill="1"/>
    <xf numFmtId="6" fontId="0" fillId="0" borderId="0" xfId="0" applyNumberFormat="1"/>
    <xf numFmtId="0" fontId="0" fillId="14" borderId="0" xfId="0" applyFill="1"/>
    <xf numFmtId="0" fontId="0" fillId="15" borderId="0" xfId="0" applyFill="1"/>
    <xf numFmtId="8" fontId="0" fillId="0" borderId="0" xfId="0" applyNumberFormat="1"/>
    <xf numFmtId="0" fontId="0" fillId="13" borderId="0" xfId="0" applyFill="1"/>
    <xf numFmtId="0" fontId="0" fillId="16" borderId="0" xfId="0" applyFill="1"/>
    <xf numFmtId="0" fontId="2" fillId="15" borderId="0" xfId="0" applyFont="1" applyFill="1"/>
    <xf numFmtId="0" fontId="0" fillId="17" borderId="0" xfId="0" applyFill="1"/>
    <xf numFmtId="0" fontId="10" fillId="0" borderId="0" xfId="1"/>
    <xf numFmtId="3" fontId="10" fillId="0" borderId="0" xfId="1" applyNumberFormat="1"/>
    <xf numFmtId="0" fontId="11" fillId="0" borderId="0" xfId="1" applyFont="1"/>
    <xf numFmtId="3" fontId="0" fillId="0" borderId="0" xfId="0" applyNumberFormat="1"/>
    <xf numFmtId="0" fontId="12" fillId="0" borderId="0" xfId="2"/>
  </cellXfs>
  <cellStyles count="3">
    <cellStyle name="Hyperlink" xfId="2" builtinId="8"/>
    <cellStyle name="Normal" xfId="0" builtinId="0"/>
    <cellStyle name="Normal 2" xfId="1" xr:uid="{05A87850-29FC-9343-9C63-0B865BBC8B1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bea.gov/sites/default/files/2021-11/lapi1121.pd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ports-reference.com/cbb/postseason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hampaigncountyedc.org/area-fact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eb.chamberbloomington.org/business_center/major_employers.asp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johnsoncountyiowa.gov/sites/default/files/2019-09/2018_Comprehensive_Plan_Volume_1_chapter_3.pdf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commerce.maryland.gov/Documents/ResearchDocument/MajorEmployersInPrinceGeorgesCounty.pdf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annarborusa.org/news/top-regional-employers/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purelansing.com/topemployers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tcbmag.com/target-retains-crown-as-top-employer-in-minneapolis/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electlincoln.org/lincoln-life/work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nbc4i.com/news/local-news/list-largest-private-employers-in-columbus-and-central-ohio/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workstats.dli.pa.gov/Documents/Top%2050/Centre_County_Top_50.pdf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lev.vc/tippecanoe-indiana/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edisonchamber.com/major-employers-in-middlesex-county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hyperlink" Target="https://pubs.royle.com/publication/?m=62546&amp;i=759146&amp;p=36&amp;ver=html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49A9A-5EC6-DA46-B78D-31B94D6D7B2C}">
  <dimension ref="A1:I17"/>
  <sheetViews>
    <sheetView workbookViewId="0">
      <selection activeCell="A2" sqref="A2:A14"/>
    </sheetView>
  </sheetViews>
  <sheetFormatPr baseColWidth="10" defaultColWidth="8.83203125" defaultRowHeight="15" x14ac:dyDescent="0.2"/>
  <cols>
    <col min="1" max="1" width="33.6640625" style="24" customWidth="1"/>
    <col min="2" max="2" width="18" style="24" customWidth="1"/>
    <col min="3" max="4" width="23.5" style="24" customWidth="1"/>
    <col min="5" max="6" width="29.5" style="24" customWidth="1"/>
    <col min="7" max="7" width="29.1640625" style="24" customWidth="1"/>
    <col min="8" max="8" width="24.5" style="24" customWidth="1"/>
    <col min="9" max="9" width="21.83203125" style="24" customWidth="1"/>
    <col min="10" max="16384" width="8.83203125" style="24"/>
  </cols>
  <sheetData>
    <row r="1" spans="1:9" s="26" customFormat="1" x14ac:dyDescent="0.2">
      <c r="A1" s="26" t="s">
        <v>111</v>
      </c>
      <c r="B1" s="26" t="s">
        <v>90</v>
      </c>
      <c r="C1" s="26" t="s">
        <v>89</v>
      </c>
      <c r="D1" s="26" t="s">
        <v>104</v>
      </c>
      <c r="E1" s="26" t="s">
        <v>88</v>
      </c>
      <c r="F1" s="26" t="s">
        <v>87</v>
      </c>
      <c r="G1" s="26" t="s">
        <v>86</v>
      </c>
      <c r="H1" s="26" t="s">
        <v>85</v>
      </c>
      <c r="I1" s="26" t="s">
        <v>105</v>
      </c>
    </row>
    <row r="2" spans="1:9" ht="16" x14ac:dyDescent="0.2">
      <c r="A2" s="14" t="s">
        <v>84</v>
      </c>
      <c r="B2" s="24" t="s">
        <v>83</v>
      </c>
      <c r="C2" s="24" t="s">
        <v>91</v>
      </c>
      <c r="D2" s="25">
        <v>89114</v>
      </c>
      <c r="E2" s="25">
        <v>44277</v>
      </c>
      <c r="F2" s="25">
        <v>45591</v>
      </c>
      <c r="G2" s="25">
        <v>49187</v>
      </c>
      <c r="I2" s="25">
        <v>9763130</v>
      </c>
    </row>
    <row r="3" spans="1:9" ht="16" x14ac:dyDescent="0.2">
      <c r="A3" s="13" t="s">
        <v>106</v>
      </c>
      <c r="B3" s="24" t="s">
        <v>82</v>
      </c>
      <c r="C3" s="24" t="s">
        <v>92</v>
      </c>
      <c r="D3" s="25">
        <v>79968</v>
      </c>
      <c r="E3" s="25">
        <v>42192</v>
      </c>
      <c r="F3" s="25">
        <v>44014</v>
      </c>
      <c r="G3" s="25">
        <v>46693</v>
      </c>
      <c r="I3" s="25">
        <v>6186198</v>
      </c>
    </row>
    <row r="4" spans="1:9" ht="16" x14ac:dyDescent="0.2">
      <c r="A4" s="12" t="s">
        <v>81</v>
      </c>
      <c r="B4" s="24" t="s">
        <v>80</v>
      </c>
      <c r="C4" s="24" t="s">
        <v>93</v>
      </c>
      <c r="D4" s="25">
        <v>74596</v>
      </c>
      <c r="E4" s="25">
        <v>53822</v>
      </c>
      <c r="F4" s="25">
        <v>54769</v>
      </c>
      <c r="G4" s="25">
        <v>56573</v>
      </c>
      <c r="I4" s="25">
        <v>8212803</v>
      </c>
    </row>
    <row r="5" spans="1:9" ht="16" x14ac:dyDescent="0.2">
      <c r="A5" s="11" t="s">
        <v>79</v>
      </c>
      <c r="B5" s="24" t="s">
        <v>78</v>
      </c>
      <c r="C5" s="24" t="s">
        <v>94</v>
      </c>
      <c r="D5" s="25">
        <v>35110</v>
      </c>
      <c r="E5" s="25">
        <v>48421</v>
      </c>
      <c r="F5" s="25">
        <v>49947</v>
      </c>
      <c r="G5" s="25">
        <v>54195</v>
      </c>
      <c r="I5" s="25">
        <v>39905568</v>
      </c>
    </row>
    <row r="6" spans="1:9" ht="16" x14ac:dyDescent="0.2">
      <c r="A6" s="10" t="s">
        <v>77</v>
      </c>
      <c r="B6" s="24" t="s">
        <v>76</v>
      </c>
      <c r="C6" s="24" t="s">
        <v>95</v>
      </c>
      <c r="D6" s="25">
        <v>121536</v>
      </c>
      <c r="E6" s="25">
        <v>58667</v>
      </c>
      <c r="F6" s="25">
        <v>61101</v>
      </c>
      <c r="G6" s="25">
        <v>63655</v>
      </c>
      <c r="I6" s="25">
        <v>22186983</v>
      </c>
    </row>
    <row r="7" spans="1:9" ht="16" x14ac:dyDescent="0.2">
      <c r="A7" s="9" t="s">
        <v>107</v>
      </c>
      <c r="B7" s="24" t="s">
        <v>75</v>
      </c>
      <c r="C7" s="24" t="s">
        <v>96</v>
      </c>
      <c r="D7" s="25">
        <v>46854</v>
      </c>
      <c r="E7" s="25">
        <v>39912</v>
      </c>
      <c r="F7" s="25">
        <v>41298</v>
      </c>
      <c r="G7" s="25">
        <v>44957</v>
      </c>
      <c r="I7" s="25">
        <v>14579594</v>
      </c>
    </row>
    <row r="8" spans="1:9" ht="16" x14ac:dyDescent="0.2">
      <c r="A8" s="8" t="s">
        <v>74</v>
      </c>
      <c r="B8" s="24" t="s">
        <v>73</v>
      </c>
      <c r="C8" s="24" t="s">
        <v>99</v>
      </c>
      <c r="D8" s="25">
        <v>425336</v>
      </c>
      <c r="E8" s="25">
        <v>74461</v>
      </c>
      <c r="F8" s="25">
        <v>76131</v>
      </c>
      <c r="G8" s="25">
        <v>79183</v>
      </c>
      <c r="I8" s="25">
        <v>121458435</v>
      </c>
    </row>
    <row r="9" spans="1:9" ht="16" x14ac:dyDescent="0.2">
      <c r="A9" s="7" t="s">
        <v>72</v>
      </c>
      <c r="B9" s="24" t="s">
        <v>71</v>
      </c>
      <c r="C9" s="24" t="s">
        <v>97</v>
      </c>
      <c r="D9" s="25">
        <v>292657</v>
      </c>
      <c r="E9" s="25">
        <v>49449</v>
      </c>
      <c r="F9" s="25">
        <v>50510</v>
      </c>
      <c r="G9" s="25">
        <v>52887</v>
      </c>
      <c r="I9" s="25">
        <v>17281019</v>
      </c>
    </row>
    <row r="10" spans="1:9" ht="16" x14ac:dyDescent="0.2">
      <c r="A10" s="6" t="s">
        <v>70</v>
      </c>
      <c r="B10" s="24" t="s">
        <v>69</v>
      </c>
      <c r="C10" s="24" t="s">
        <v>98</v>
      </c>
      <c r="D10" s="25">
        <v>906528</v>
      </c>
      <c r="E10" s="25">
        <v>50184</v>
      </c>
      <c r="F10" s="25">
        <v>51467</v>
      </c>
      <c r="G10" s="25">
        <v>55294</v>
      </c>
      <c r="I10" s="25">
        <v>86194577</v>
      </c>
    </row>
    <row r="11" spans="1:9" ht="16" x14ac:dyDescent="0.2">
      <c r="A11" s="5" t="s">
        <v>108</v>
      </c>
      <c r="B11" s="24" t="s">
        <v>68</v>
      </c>
      <c r="C11" s="24" t="s">
        <v>100</v>
      </c>
      <c r="D11" s="25">
        <v>39525</v>
      </c>
      <c r="E11" s="25">
        <v>46210</v>
      </c>
      <c r="F11" s="25">
        <v>47947</v>
      </c>
      <c r="G11" s="25">
        <v>50615</v>
      </c>
      <c r="I11" s="25">
        <v>7697375</v>
      </c>
    </row>
    <row r="12" spans="1:9" ht="16" x14ac:dyDescent="0.2">
      <c r="A12" s="4" t="s">
        <v>67</v>
      </c>
      <c r="B12" s="24" t="s">
        <v>66</v>
      </c>
      <c r="C12" s="24" t="s">
        <v>101</v>
      </c>
      <c r="D12" s="25">
        <v>44672</v>
      </c>
      <c r="E12" s="25">
        <v>38942</v>
      </c>
      <c r="F12" s="25">
        <v>39533</v>
      </c>
      <c r="G12" s="25">
        <v>41446</v>
      </c>
      <c r="I12" s="25">
        <v>9037103</v>
      </c>
    </row>
    <row r="13" spans="1:9" ht="16" x14ac:dyDescent="0.2">
      <c r="A13" s="3" t="s">
        <v>109</v>
      </c>
      <c r="B13" s="24" t="s">
        <v>65</v>
      </c>
      <c r="C13" s="24" t="s">
        <v>102</v>
      </c>
      <c r="D13" s="25">
        <v>55708</v>
      </c>
      <c r="E13" s="25">
        <v>60547</v>
      </c>
      <c r="F13" s="25">
        <v>62665</v>
      </c>
      <c r="G13" s="25">
        <v>66640</v>
      </c>
      <c r="I13" s="25">
        <v>160961586</v>
      </c>
    </row>
    <row r="14" spans="1:9" ht="16" x14ac:dyDescent="0.2">
      <c r="A14" s="2" t="s">
        <v>110</v>
      </c>
      <c r="B14" s="24" t="s">
        <v>64</v>
      </c>
      <c r="C14" s="24" t="s">
        <v>103</v>
      </c>
      <c r="D14" s="25">
        <v>269196</v>
      </c>
      <c r="E14" s="25">
        <v>61221</v>
      </c>
      <c r="F14" s="25">
        <v>63683</v>
      </c>
      <c r="G14" s="25">
        <v>66094</v>
      </c>
      <c r="I14" s="25">
        <v>39762409</v>
      </c>
    </row>
    <row r="16" spans="1:9" x14ac:dyDescent="0.2">
      <c r="A16" s="24" t="s">
        <v>63</v>
      </c>
    </row>
    <row r="17" spans="1:1" ht="16" x14ac:dyDescent="0.2">
      <c r="A17" s="28" t="s">
        <v>257</v>
      </c>
    </row>
  </sheetData>
  <hyperlinks>
    <hyperlink ref="A17" r:id="rId1" xr:uid="{FD25C454-A083-4547-9E67-193083A6899D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C39C6-9960-A74B-B051-2CC902392DC5}">
  <dimension ref="A1:H14"/>
  <sheetViews>
    <sheetView topLeftCell="A7" zoomScale="104" workbookViewId="0">
      <selection activeCell="G18" sqref="G18"/>
    </sheetView>
  </sheetViews>
  <sheetFormatPr baseColWidth="10" defaultRowHeight="16" x14ac:dyDescent="0.2"/>
  <cols>
    <col min="1" max="1" width="15.83203125" customWidth="1"/>
    <col min="2" max="2" width="16.6640625" customWidth="1"/>
    <col min="3" max="3" width="18" customWidth="1"/>
    <col min="4" max="4" width="17.5" customWidth="1"/>
    <col min="5" max="5" width="20" customWidth="1"/>
    <col min="6" max="6" width="14" customWidth="1"/>
    <col min="7" max="7" width="93" customWidth="1"/>
  </cols>
  <sheetData>
    <row r="1" spans="1:8" x14ac:dyDescent="0.2">
      <c r="A1" s="1" t="s">
        <v>62</v>
      </c>
      <c r="B1" s="1" t="s">
        <v>61</v>
      </c>
      <c r="C1" s="1" t="s">
        <v>60</v>
      </c>
      <c r="D1" s="1" t="s">
        <v>59</v>
      </c>
      <c r="E1" s="1" t="s">
        <v>58</v>
      </c>
      <c r="F1" s="1" t="s">
        <v>57</v>
      </c>
      <c r="G1" s="1" t="s">
        <v>23</v>
      </c>
    </row>
    <row r="2" spans="1:8" x14ac:dyDescent="0.2">
      <c r="A2" t="s">
        <v>56</v>
      </c>
      <c r="B2" s="21" t="s">
        <v>34</v>
      </c>
      <c r="C2">
        <v>2016</v>
      </c>
      <c r="D2" s="16">
        <v>44500000</v>
      </c>
      <c r="E2">
        <v>10</v>
      </c>
      <c r="F2" s="16">
        <f t="shared" ref="F2:F10" si="0">D2/E2</f>
        <v>4450000</v>
      </c>
      <c r="G2" t="s">
        <v>55</v>
      </c>
    </row>
    <row r="3" spans="1:8" x14ac:dyDescent="0.2">
      <c r="A3" t="s">
        <v>54</v>
      </c>
      <c r="B3" s="20" t="s">
        <v>30</v>
      </c>
      <c r="C3">
        <v>2015</v>
      </c>
      <c r="D3" s="16">
        <v>53600000</v>
      </c>
      <c r="E3">
        <v>8</v>
      </c>
      <c r="F3" s="16">
        <f t="shared" si="0"/>
        <v>6700000</v>
      </c>
      <c r="G3" s="22" t="s">
        <v>53</v>
      </c>
    </row>
    <row r="4" spans="1:8" x14ac:dyDescent="0.2">
      <c r="A4" t="s">
        <v>52</v>
      </c>
      <c r="B4" s="21" t="s">
        <v>34</v>
      </c>
      <c r="C4">
        <v>2013</v>
      </c>
      <c r="D4" s="16">
        <v>9350000</v>
      </c>
      <c r="E4">
        <v>5</v>
      </c>
      <c r="F4" s="16">
        <f t="shared" si="0"/>
        <v>1870000</v>
      </c>
      <c r="G4" s="1" t="s">
        <v>51</v>
      </c>
    </row>
    <row r="5" spans="1:8" x14ac:dyDescent="0.2">
      <c r="A5" t="s">
        <v>50</v>
      </c>
      <c r="B5" s="17" t="s">
        <v>27</v>
      </c>
      <c r="C5">
        <v>2014</v>
      </c>
      <c r="D5" s="16">
        <v>33000000</v>
      </c>
      <c r="E5">
        <v>10</v>
      </c>
      <c r="F5" s="16">
        <f t="shared" si="0"/>
        <v>3300000</v>
      </c>
      <c r="G5" t="s">
        <v>49</v>
      </c>
    </row>
    <row r="6" spans="1:8" x14ac:dyDescent="0.2">
      <c r="A6" t="s">
        <v>48</v>
      </c>
      <c r="B6" s="23" t="s">
        <v>47</v>
      </c>
      <c r="C6">
        <v>2016</v>
      </c>
      <c r="D6" s="16">
        <v>173800000</v>
      </c>
      <c r="E6">
        <v>15</v>
      </c>
      <c r="F6" s="19">
        <f t="shared" si="0"/>
        <v>11586666.666666666</v>
      </c>
      <c r="G6" s="22" t="s">
        <v>46</v>
      </c>
    </row>
    <row r="7" spans="1:8" x14ac:dyDescent="0.2">
      <c r="A7" t="s">
        <v>45</v>
      </c>
      <c r="B7" s="21" t="s">
        <v>34</v>
      </c>
      <c r="C7">
        <v>2015</v>
      </c>
      <c r="D7" s="16">
        <v>34000000</v>
      </c>
      <c r="E7">
        <v>10</v>
      </c>
      <c r="F7" s="16">
        <f t="shared" si="0"/>
        <v>3400000</v>
      </c>
      <c r="G7" t="s">
        <v>44</v>
      </c>
    </row>
    <row r="8" spans="1:8" x14ac:dyDescent="0.2">
      <c r="A8" t="s">
        <v>43</v>
      </c>
      <c r="B8" s="21" t="s">
        <v>34</v>
      </c>
      <c r="C8">
        <v>2014</v>
      </c>
      <c r="D8" s="16">
        <v>13200000</v>
      </c>
      <c r="E8">
        <v>6</v>
      </c>
      <c r="F8" s="16">
        <f t="shared" si="0"/>
        <v>2200000</v>
      </c>
      <c r="G8" t="s">
        <v>42</v>
      </c>
    </row>
    <row r="9" spans="1:8" x14ac:dyDescent="0.2">
      <c r="A9" t="s">
        <v>41</v>
      </c>
      <c r="B9" s="20" t="s">
        <v>30</v>
      </c>
      <c r="C9">
        <v>2017</v>
      </c>
      <c r="D9" s="16">
        <v>128700000</v>
      </c>
      <c r="E9">
        <v>11</v>
      </c>
      <c r="F9" s="16">
        <f t="shared" si="0"/>
        <v>11700000</v>
      </c>
      <c r="G9" t="s">
        <v>40</v>
      </c>
    </row>
    <row r="10" spans="1:8" x14ac:dyDescent="0.2">
      <c r="A10" t="s">
        <v>39</v>
      </c>
      <c r="B10" s="21" t="s">
        <v>34</v>
      </c>
      <c r="C10">
        <v>2018</v>
      </c>
      <c r="D10" s="16">
        <v>252000000</v>
      </c>
      <c r="E10">
        <v>15</v>
      </c>
      <c r="F10" s="16">
        <f t="shared" si="0"/>
        <v>16800000</v>
      </c>
      <c r="G10" t="s">
        <v>38</v>
      </c>
    </row>
    <row r="11" spans="1:8" x14ac:dyDescent="0.2">
      <c r="A11" t="s">
        <v>37</v>
      </c>
      <c r="B11" s="21" t="s">
        <v>34</v>
      </c>
      <c r="G11" s="1" t="s">
        <v>36</v>
      </c>
    </row>
    <row r="12" spans="1:8" x14ac:dyDescent="0.2">
      <c r="A12" t="s">
        <v>35</v>
      </c>
      <c r="B12" s="21" t="s">
        <v>34</v>
      </c>
      <c r="C12">
        <v>2019</v>
      </c>
      <c r="D12" t="s">
        <v>33</v>
      </c>
      <c r="E12">
        <v>5</v>
      </c>
      <c r="F12" t="s">
        <v>33</v>
      </c>
      <c r="G12" t="s">
        <v>32</v>
      </c>
    </row>
    <row r="13" spans="1:8" x14ac:dyDescent="0.2">
      <c r="A13" t="s">
        <v>31</v>
      </c>
      <c r="B13" s="20" t="s">
        <v>30</v>
      </c>
      <c r="C13">
        <v>2017</v>
      </c>
      <c r="D13" s="16">
        <v>10000000</v>
      </c>
      <c r="E13">
        <v>6</v>
      </c>
      <c r="F13" s="19">
        <f>D13/E13</f>
        <v>1666666.6666666667</v>
      </c>
      <c r="G13" s="18" t="s">
        <v>29</v>
      </c>
      <c r="H13" s="1"/>
    </row>
    <row r="14" spans="1:8" x14ac:dyDescent="0.2">
      <c r="A14" t="s">
        <v>28</v>
      </c>
      <c r="B14" s="17" t="s">
        <v>27</v>
      </c>
      <c r="C14">
        <v>2016</v>
      </c>
      <c r="D14" s="16">
        <v>96000000</v>
      </c>
      <c r="E14">
        <v>10</v>
      </c>
      <c r="F14" s="16">
        <f>D14/E14</f>
        <v>9600000</v>
      </c>
      <c r="G14" s="15" t="s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A1862-41C7-6646-A625-27414438CB51}">
  <dimension ref="A1:D26"/>
  <sheetViews>
    <sheetView workbookViewId="0">
      <selection activeCell="A27" sqref="A27"/>
    </sheetView>
  </sheetViews>
  <sheetFormatPr baseColWidth="10" defaultRowHeight="16" x14ac:dyDescent="0.2"/>
  <cols>
    <col min="1" max="1" width="38.83203125" customWidth="1"/>
    <col min="2" max="2" width="15.1640625" customWidth="1"/>
    <col min="3" max="3" width="73" customWidth="1"/>
    <col min="4" max="4" width="24.5" customWidth="1"/>
  </cols>
  <sheetData>
    <row r="1" spans="1:4" x14ac:dyDescent="0.2">
      <c r="A1" s="1" t="s">
        <v>25</v>
      </c>
      <c r="B1" s="1" t="s">
        <v>24</v>
      </c>
      <c r="C1" s="1"/>
      <c r="D1" s="1"/>
    </row>
    <row r="2" spans="1:4" x14ac:dyDescent="0.2">
      <c r="A2" s="14" t="s">
        <v>22</v>
      </c>
      <c r="B2">
        <v>2022</v>
      </c>
    </row>
    <row r="3" spans="1:4" x14ac:dyDescent="0.2">
      <c r="A3" s="13" t="s">
        <v>21</v>
      </c>
      <c r="B3">
        <v>2022</v>
      </c>
    </row>
    <row r="4" spans="1:4" x14ac:dyDescent="0.2">
      <c r="A4" s="13" t="s">
        <v>20</v>
      </c>
      <c r="B4">
        <v>2021</v>
      </c>
    </row>
    <row r="5" spans="1:4" x14ac:dyDescent="0.2">
      <c r="A5" s="12" t="s">
        <v>19</v>
      </c>
      <c r="B5">
        <v>2022</v>
      </c>
    </row>
    <row r="6" spans="1:4" x14ac:dyDescent="0.2">
      <c r="A6" s="12" t="s">
        <v>18</v>
      </c>
      <c r="B6">
        <v>2022</v>
      </c>
    </row>
    <row r="7" spans="1:4" x14ac:dyDescent="0.2">
      <c r="A7" s="11" t="s">
        <v>17</v>
      </c>
      <c r="B7">
        <v>2021</v>
      </c>
    </row>
    <row r="8" spans="1:4" x14ac:dyDescent="0.2">
      <c r="A8" s="10" t="s">
        <v>265</v>
      </c>
      <c r="B8">
        <v>2022</v>
      </c>
    </row>
    <row r="9" spans="1:4" x14ac:dyDescent="0.2">
      <c r="A9" s="10" t="s">
        <v>16</v>
      </c>
      <c r="B9">
        <v>2021</v>
      </c>
    </row>
    <row r="10" spans="1:4" x14ac:dyDescent="0.2">
      <c r="A10" s="10" t="s">
        <v>15</v>
      </c>
      <c r="B10">
        <v>2022</v>
      </c>
    </row>
    <row r="11" spans="1:4" x14ac:dyDescent="0.2">
      <c r="A11" s="10" t="s">
        <v>14</v>
      </c>
      <c r="B11">
        <v>2022</v>
      </c>
    </row>
    <row r="12" spans="1:4" x14ac:dyDescent="0.2">
      <c r="A12" s="9" t="s">
        <v>13</v>
      </c>
      <c r="B12">
        <v>2022</v>
      </c>
    </row>
    <row r="13" spans="1:4" x14ac:dyDescent="0.2">
      <c r="A13" s="9" t="s">
        <v>12</v>
      </c>
      <c r="B13">
        <v>2022</v>
      </c>
    </row>
    <row r="14" spans="1:4" x14ac:dyDescent="0.2">
      <c r="A14" s="8" t="s">
        <v>11</v>
      </c>
      <c r="B14">
        <v>2022</v>
      </c>
    </row>
    <row r="15" spans="1:4" x14ac:dyDescent="0.2">
      <c r="A15" s="7" t="s">
        <v>10</v>
      </c>
      <c r="B15">
        <v>2022</v>
      </c>
    </row>
    <row r="16" spans="1:4" x14ac:dyDescent="0.2">
      <c r="A16" s="7" t="s">
        <v>9</v>
      </c>
      <c r="B16">
        <v>2022</v>
      </c>
    </row>
    <row r="17" spans="1:2" x14ac:dyDescent="0.2">
      <c r="A17" s="6" t="s">
        <v>8</v>
      </c>
      <c r="B17">
        <v>2022</v>
      </c>
    </row>
    <row r="18" spans="1:2" x14ac:dyDescent="0.2">
      <c r="A18" s="6" t="s">
        <v>7</v>
      </c>
      <c r="B18">
        <v>2021</v>
      </c>
    </row>
    <row r="19" spans="1:2" x14ac:dyDescent="0.2">
      <c r="A19" s="6" t="s">
        <v>6</v>
      </c>
      <c r="B19">
        <v>2022</v>
      </c>
    </row>
    <row r="20" spans="1:2" x14ac:dyDescent="0.2">
      <c r="A20" s="5" t="s">
        <v>5</v>
      </c>
      <c r="B20">
        <v>2021</v>
      </c>
    </row>
    <row r="21" spans="1:2" x14ac:dyDescent="0.2">
      <c r="A21" s="5" t="s">
        <v>4</v>
      </c>
      <c r="B21">
        <v>2022</v>
      </c>
    </row>
    <row r="22" spans="1:2" x14ac:dyDescent="0.2">
      <c r="A22" s="5" t="s">
        <v>3</v>
      </c>
      <c r="B22">
        <v>2022</v>
      </c>
    </row>
    <row r="23" spans="1:2" x14ac:dyDescent="0.2">
      <c r="A23" s="4" t="s">
        <v>2</v>
      </c>
      <c r="B23">
        <v>2022</v>
      </c>
    </row>
    <row r="24" spans="1:2" x14ac:dyDescent="0.2">
      <c r="A24" s="4" t="s">
        <v>266</v>
      </c>
      <c r="B24">
        <v>2022</v>
      </c>
    </row>
    <row r="25" spans="1:2" x14ac:dyDescent="0.2">
      <c r="A25" s="3" t="s">
        <v>1</v>
      </c>
      <c r="B25">
        <v>2022</v>
      </c>
    </row>
    <row r="26" spans="1:2" x14ac:dyDescent="0.2">
      <c r="A26" s="2" t="s">
        <v>0</v>
      </c>
      <c r="B26">
        <v>2022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B8FFB-B470-AA4C-B107-366A64981674}">
  <dimension ref="A1:B17"/>
  <sheetViews>
    <sheetView topLeftCell="A2" workbookViewId="0">
      <selection activeCell="E19" sqref="E19"/>
    </sheetView>
  </sheetViews>
  <sheetFormatPr baseColWidth="10" defaultRowHeight="16" x14ac:dyDescent="0.2"/>
  <cols>
    <col min="1" max="1" width="35.6640625" customWidth="1"/>
    <col min="2" max="2" width="34.6640625" customWidth="1"/>
  </cols>
  <sheetData>
    <row r="1" spans="1:2" x14ac:dyDescent="0.2">
      <c r="A1" s="1" t="s">
        <v>267</v>
      </c>
      <c r="B1" t="s">
        <v>268</v>
      </c>
    </row>
    <row r="2" spans="1:2" x14ac:dyDescent="0.2">
      <c r="A2" s="14" t="s">
        <v>84</v>
      </c>
      <c r="B2">
        <v>1</v>
      </c>
    </row>
    <row r="3" spans="1:2" x14ac:dyDescent="0.2">
      <c r="A3" s="13" t="s">
        <v>106</v>
      </c>
      <c r="B3">
        <v>1</v>
      </c>
    </row>
    <row r="4" spans="1:2" x14ac:dyDescent="0.2">
      <c r="A4" s="12" t="s">
        <v>81</v>
      </c>
      <c r="B4">
        <v>3</v>
      </c>
    </row>
    <row r="5" spans="1:2" x14ac:dyDescent="0.2">
      <c r="A5" s="11" t="s">
        <v>79</v>
      </c>
      <c r="B5">
        <v>4</v>
      </c>
    </row>
    <row r="6" spans="1:2" x14ac:dyDescent="0.2">
      <c r="A6" s="10" t="s">
        <v>77</v>
      </c>
      <c r="B6">
        <v>5</v>
      </c>
    </row>
    <row r="7" spans="1:2" x14ac:dyDescent="0.2">
      <c r="A7" s="9" t="s">
        <v>107</v>
      </c>
      <c r="B7">
        <v>5</v>
      </c>
    </row>
    <row r="8" spans="1:2" x14ac:dyDescent="0.2">
      <c r="A8" s="8" t="s">
        <v>74</v>
      </c>
      <c r="B8">
        <v>2</v>
      </c>
    </row>
    <row r="9" spans="1:2" x14ac:dyDescent="0.2">
      <c r="A9" s="7" t="s">
        <v>72</v>
      </c>
      <c r="B9">
        <v>0</v>
      </c>
    </row>
    <row r="10" spans="1:2" x14ac:dyDescent="0.2">
      <c r="A10" s="6" t="s">
        <v>70</v>
      </c>
      <c r="B10">
        <v>3</v>
      </c>
    </row>
    <row r="11" spans="1:2" x14ac:dyDescent="0.2">
      <c r="A11" s="5" t="s">
        <v>108</v>
      </c>
      <c r="B11">
        <v>0</v>
      </c>
    </row>
    <row r="12" spans="1:2" x14ac:dyDescent="0.2">
      <c r="A12" s="4" t="s">
        <v>67</v>
      </c>
      <c r="B12">
        <v>5</v>
      </c>
    </row>
    <row r="13" spans="1:2" x14ac:dyDescent="0.2">
      <c r="A13" s="3" t="s">
        <v>109</v>
      </c>
      <c r="B13">
        <v>1</v>
      </c>
    </row>
    <row r="14" spans="1:2" x14ac:dyDescent="0.2">
      <c r="A14" s="2" t="s">
        <v>110</v>
      </c>
      <c r="B14">
        <v>4</v>
      </c>
    </row>
    <row r="16" spans="1:2" x14ac:dyDescent="0.2">
      <c r="A16" t="s">
        <v>269</v>
      </c>
    </row>
    <row r="17" spans="1:1" x14ac:dyDescent="0.2">
      <c r="A17" s="28" t="s">
        <v>270</v>
      </c>
    </row>
  </sheetData>
  <hyperlinks>
    <hyperlink ref="A17" r:id="rId1" xr:uid="{1C194FE5-6A9B-BE47-841C-A4A49026F91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3314-B9C2-6146-A018-7092EB08B638}">
  <dimension ref="A1:F14"/>
  <sheetViews>
    <sheetView workbookViewId="0">
      <selection activeCell="D18" sqref="D18"/>
    </sheetView>
  </sheetViews>
  <sheetFormatPr baseColWidth="10" defaultRowHeight="16" x14ac:dyDescent="0.2"/>
  <cols>
    <col min="1" max="1" width="37.1640625" customWidth="1"/>
    <col min="2" max="2" width="19" customWidth="1"/>
    <col min="3" max="3" width="27" customWidth="1"/>
    <col min="4" max="4" width="27.83203125" customWidth="1"/>
  </cols>
  <sheetData>
    <row r="1" spans="1:6" x14ac:dyDescent="0.2">
      <c r="A1" s="26" t="s">
        <v>111</v>
      </c>
      <c r="B1" s="26" t="s">
        <v>90</v>
      </c>
      <c r="C1" s="1" t="s">
        <v>112</v>
      </c>
      <c r="D1" s="1" t="s">
        <v>138</v>
      </c>
      <c r="E1" s="1"/>
      <c r="F1" s="1"/>
    </row>
    <row r="2" spans="1:6" x14ac:dyDescent="0.2">
      <c r="A2" s="14" t="s">
        <v>84</v>
      </c>
      <c r="B2" s="24" t="s">
        <v>83</v>
      </c>
      <c r="C2" t="s">
        <v>250</v>
      </c>
      <c r="D2" s="27">
        <v>6921</v>
      </c>
    </row>
    <row r="3" spans="1:6" x14ac:dyDescent="0.2">
      <c r="B3" s="24"/>
    </row>
    <row r="4" spans="1:6" x14ac:dyDescent="0.2">
      <c r="B4" s="24"/>
    </row>
    <row r="5" spans="1:6" x14ac:dyDescent="0.2">
      <c r="B5" s="24"/>
    </row>
    <row r="6" spans="1:6" x14ac:dyDescent="0.2">
      <c r="B6" s="24"/>
    </row>
    <row r="7" spans="1:6" x14ac:dyDescent="0.2">
      <c r="B7" s="24"/>
    </row>
    <row r="8" spans="1:6" x14ac:dyDescent="0.2">
      <c r="B8" s="24"/>
    </row>
    <row r="9" spans="1:6" x14ac:dyDescent="0.2">
      <c r="B9" s="24"/>
    </row>
    <row r="10" spans="1:6" x14ac:dyDescent="0.2">
      <c r="B10" s="24"/>
    </row>
    <row r="11" spans="1:6" x14ac:dyDescent="0.2">
      <c r="B11" s="24"/>
    </row>
    <row r="12" spans="1:6" x14ac:dyDescent="0.2">
      <c r="B12" s="24"/>
    </row>
    <row r="13" spans="1:6" x14ac:dyDescent="0.2">
      <c r="B13" s="24"/>
    </row>
    <row r="14" spans="1:6" x14ac:dyDescent="0.2">
      <c r="A14" s="28" t="s">
        <v>258</v>
      </c>
      <c r="B14" s="24"/>
    </row>
  </sheetData>
  <hyperlinks>
    <hyperlink ref="A14" r:id="rId1" xr:uid="{2CD5D41E-529B-3948-B80D-C1BBBB8D3CB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FF537-4631-3941-98F7-84A11B79EDFC}">
  <dimension ref="A1:D13"/>
  <sheetViews>
    <sheetView workbookViewId="0">
      <selection activeCell="C5" sqref="C5:D7"/>
    </sheetView>
  </sheetViews>
  <sheetFormatPr baseColWidth="10" defaultRowHeight="16" x14ac:dyDescent="0.2"/>
  <cols>
    <col min="1" max="1" width="37.1640625" customWidth="1"/>
    <col min="2" max="2" width="19" customWidth="1"/>
    <col min="3" max="3" width="28.83203125" customWidth="1"/>
    <col min="4" max="4" width="27.83203125" customWidth="1"/>
  </cols>
  <sheetData>
    <row r="1" spans="1:4" x14ac:dyDescent="0.2">
      <c r="A1" s="26" t="s">
        <v>111</v>
      </c>
      <c r="B1" s="26" t="s">
        <v>90</v>
      </c>
      <c r="C1" s="1" t="s">
        <v>112</v>
      </c>
      <c r="D1" s="1" t="s">
        <v>138</v>
      </c>
    </row>
    <row r="2" spans="1:4" x14ac:dyDescent="0.2">
      <c r="A2" s="13" t="s">
        <v>106</v>
      </c>
      <c r="B2" s="24" t="s">
        <v>82</v>
      </c>
      <c r="C2" t="s">
        <v>113</v>
      </c>
      <c r="D2">
        <v>3300</v>
      </c>
    </row>
    <row r="3" spans="1:4" x14ac:dyDescent="0.2">
      <c r="B3" s="24"/>
      <c r="C3" t="s">
        <v>114</v>
      </c>
      <c r="D3">
        <v>2246</v>
      </c>
    </row>
    <row r="4" spans="1:4" x14ac:dyDescent="0.2">
      <c r="B4" s="24"/>
      <c r="C4" t="s">
        <v>170</v>
      </c>
      <c r="D4">
        <v>1100</v>
      </c>
    </row>
    <row r="5" spans="1:4" x14ac:dyDescent="0.2">
      <c r="B5" s="24"/>
    </row>
    <row r="6" spans="1:4" x14ac:dyDescent="0.2">
      <c r="B6" s="24"/>
    </row>
    <row r="7" spans="1:4" x14ac:dyDescent="0.2">
      <c r="B7" s="24"/>
    </row>
    <row r="8" spans="1:4" x14ac:dyDescent="0.2">
      <c r="B8" s="24"/>
    </row>
    <row r="9" spans="1:4" x14ac:dyDescent="0.2">
      <c r="A9" s="28" t="s">
        <v>259</v>
      </c>
      <c r="B9" s="24"/>
    </row>
    <row r="10" spans="1:4" x14ac:dyDescent="0.2">
      <c r="B10" s="24"/>
    </row>
    <row r="11" spans="1:4" x14ac:dyDescent="0.2">
      <c r="B11" s="24"/>
    </row>
    <row r="12" spans="1:4" x14ac:dyDescent="0.2">
      <c r="B12" s="24"/>
    </row>
    <row r="13" spans="1:4" x14ac:dyDescent="0.2">
      <c r="B13" s="24"/>
    </row>
  </sheetData>
  <hyperlinks>
    <hyperlink ref="A9" r:id="rId1" xr:uid="{740B1892-74CB-3B47-8A19-A3D02F303BD1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111B2-BD9D-064D-BA29-A9978E3B1EC9}">
  <dimension ref="A1:E17"/>
  <sheetViews>
    <sheetView workbookViewId="0">
      <selection activeCell="C8" sqref="C8:D15"/>
    </sheetView>
  </sheetViews>
  <sheetFormatPr baseColWidth="10" defaultRowHeight="16" x14ac:dyDescent="0.2"/>
  <cols>
    <col min="1" max="1" width="21.5" customWidth="1"/>
    <col min="2" max="2" width="20.83203125" customWidth="1"/>
    <col min="3" max="3" width="29.33203125" customWidth="1"/>
    <col min="4" max="4" width="17.83203125" customWidth="1"/>
  </cols>
  <sheetData>
    <row r="1" spans="1:5" x14ac:dyDescent="0.2">
      <c r="A1" s="26" t="s">
        <v>111</v>
      </c>
      <c r="B1" s="26" t="s">
        <v>90</v>
      </c>
      <c r="C1" s="1" t="s">
        <v>112</v>
      </c>
      <c r="D1" s="1" t="s">
        <v>138</v>
      </c>
      <c r="E1" s="1"/>
    </row>
    <row r="2" spans="1:5" x14ac:dyDescent="0.2">
      <c r="A2" s="12" t="s">
        <v>81</v>
      </c>
      <c r="B2" s="24" t="s">
        <v>80</v>
      </c>
      <c r="C2" t="s">
        <v>115</v>
      </c>
      <c r="D2" s="27">
        <v>8704</v>
      </c>
    </row>
    <row r="3" spans="1:5" x14ac:dyDescent="0.2">
      <c r="C3" t="s">
        <v>116</v>
      </c>
      <c r="D3" s="27">
        <v>1562</v>
      </c>
    </row>
    <row r="4" spans="1:5" x14ac:dyDescent="0.2">
      <c r="A4" t="s">
        <v>252</v>
      </c>
      <c r="C4" t="s">
        <v>117</v>
      </c>
      <c r="D4" s="27">
        <v>1559</v>
      </c>
    </row>
    <row r="5" spans="1:5" x14ac:dyDescent="0.2">
      <c r="C5" t="s">
        <v>254</v>
      </c>
      <c r="D5" s="27">
        <v>1350</v>
      </c>
    </row>
    <row r="6" spans="1:5" x14ac:dyDescent="0.2">
      <c r="C6" t="s">
        <v>253</v>
      </c>
      <c r="D6" s="27">
        <v>1200</v>
      </c>
    </row>
    <row r="7" spans="1:5" x14ac:dyDescent="0.2">
      <c r="C7" t="s">
        <v>118</v>
      </c>
      <c r="D7" s="27">
        <v>1166</v>
      </c>
    </row>
    <row r="8" spans="1:5" x14ac:dyDescent="0.2">
      <c r="D8" s="27"/>
    </row>
    <row r="9" spans="1:5" x14ac:dyDescent="0.2">
      <c r="D9" s="27"/>
    </row>
    <row r="10" spans="1:5" x14ac:dyDescent="0.2">
      <c r="D10" s="27"/>
    </row>
    <row r="11" spans="1:5" x14ac:dyDescent="0.2">
      <c r="D11" s="27"/>
    </row>
    <row r="12" spans="1:5" x14ac:dyDescent="0.2">
      <c r="D12" s="27"/>
    </row>
    <row r="13" spans="1:5" x14ac:dyDescent="0.2">
      <c r="D13" s="27"/>
    </row>
    <row r="14" spans="1:5" x14ac:dyDescent="0.2">
      <c r="D14" s="27"/>
    </row>
    <row r="15" spans="1:5" x14ac:dyDescent="0.2">
      <c r="D15" s="27"/>
    </row>
    <row r="17" spans="1:1" x14ac:dyDescent="0.2">
      <c r="A17" s="28" t="s">
        <v>251</v>
      </c>
    </row>
  </sheetData>
  <hyperlinks>
    <hyperlink ref="A17" r:id="rId1" xr:uid="{32B63806-77F2-BF4A-A5FB-44D8243D8861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2482E-AFE2-0D42-8702-7FF80E398CCC}">
  <dimension ref="A1:E25"/>
  <sheetViews>
    <sheetView workbookViewId="0">
      <selection activeCell="B19" sqref="B19"/>
    </sheetView>
  </sheetViews>
  <sheetFormatPr baseColWidth="10" defaultRowHeight="16" x14ac:dyDescent="0.2"/>
  <cols>
    <col min="1" max="1" width="26.1640625" customWidth="1"/>
    <col min="2" max="2" width="22.83203125" customWidth="1"/>
    <col min="3" max="3" width="46.6640625" customWidth="1"/>
    <col min="4" max="4" width="17.6640625" customWidth="1"/>
  </cols>
  <sheetData>
    <row r="1" spans="1:5" x14ac:dyDescent="0.2">
      <c r="A1" s="26" t="s">
        <v>111</v>
      </c>
      <c r="B1" s="26" t="s">
        <v>90</v>
      </c>
      <c r="C1" s="1" t="s">
        <v>112</v>
      </c>
      <c r="D1" s="1" t="s">
        <v>138</v>
      </c>
      <c r="E1" s="1"/>
    </row>
    <row r="2" spans="1:5" x14ac:dyDescent="0.2">
      <c r="A2" s="11" t="s">
        <v>79</v>
      </c>
      <c r="B2" s="24" t="s">
        <v>78</v>
      </c>
      <c r="C2" t="s">
        <v>119</v>
      </c>
      <c r="D2" s="27">
        <v>4220</v>
      </c>
    </row>
    <row r="3" spans="1:5" x14ac:dyDescent="0.2">
      <c r="C3" t="s">
        <v>120</v>
      </c>
      <c r="D3" s="27">
        <v>3397</v>
      </c>
    </row>
    <row r="4" spans="1:5" x14ac:dyDescent="0.2">
      <c r="C4" t="s">
        <v>121</v>
      </c>
      <c r="D4" s="27">
        <v>3000</v>
      </c>
    </row>
    <row r="5" spans="1:5" x14ac:dyDescent="0.2">
      <c r="C5" t="s">
        <v>122</v>
      </c>
      <c r="D5" s="27">
        <v>2738</v>
      </c>
    </row>
    <row r="6" spans="1:5" x14ac:dyDescent="0.2">
      <c r="C6" t="s">
        <v>123</v>
      </c>
      <c r="D6" s="27">
        <v>2500</v>
      </c>
    </row>
    <row r="7" spans="1:5" x14ac:dyDescent="0.2">
      <c r="C7" t="s">
        <v>171</v>
      </c>
      <c r="D7" s="27">
        <v>2412</v>
      </c>
    </row>
    <row r="8" spans="1:5" x14ac:dyDescent="0.2">
      <c r="C8" t="s">
        <v>172</v>
      </c>
      <c r="D8" s="27">
        <v>1975</v>
      </c>
    </row>
    <row r="9" spans="1:5" x14ac:dyDescent="0.2">
      <c r="C9" t="s">
        <v>173</v>
      </c>
      <c r="D9" s="27">
        <v>1709</v>
      </c>
    </row>
    <row r="10" spans="1:5" x14ac:dyDescent="0.2">
      <c r="C10" t="s">
        <v>174</v>
      </c>
      <c r="D10" s="27">
        <v>1605</v>
      </c>
    </row>
    <row r="11" spans="1:5" x14ac:dyDescent="0.2">
      <c r="C11" t="s">
        <v>175</v>
      </c>
      <c r="D11" s="27">
        <v>1428</v>
      </c>
    </row>
    <row r="12" spans="1:5" x14ac:dyDescent="0.2">
      <c r="C12" t="s">
        <v>176</v>
      </c>
      <c r="D12" s="27">
        <v>1400</v>
      </c>
    </row>
    <row r="13" spans="1:5" x14ac:dyDescent="0.2">
      <c r="C13" t="s">
        <v>177</v>
      </c>
      <c r="D13" s="27">
        <v>1300</v>
      </c>
    </row>
    <row r="14" spans="1:5" x14ac:dyDescent="0.2">
      <c r="C14" t="s">
        <v>178</v>
      </c>
      <c r="D14" s="27">
        <v>1200</v>
      </c>
    </row>
    <row r="15" spans="1:5" x14ac:dyDescent="0.2">
      <c r="C15" t="s">
        <v>179</v>
      </c>
      <c r="D15" s="27">
        <v>1200</v>
      </c>
    </row>
    <row r="16" spans="1:5" x14ac:dyDescent="0.2">
      <c r="C16" t="s">
        <v>168</v>
      </c>
      <c r="D16" s="27">
        <v>1184</v>
      </c>
    </row>
    <row r="17" spans="1:4" x14ac:dyDescent="0.2">
      <c r="D17" s="27"/>
    </row>
    <row r="18" spans="1:4" x14ac:dyDescent="0.2">
      <c r="D18" s="27"/>
    </row>
    <row r="19" spans="1:4" x14ac:dyDescent="0.2">
      <c r="D19" s="27"/>
    </row>
    <row r="20" spans="1:4" x14ac:dyDescent="0.2">
      <c r="D20" s="27"/>
    </row>
    <row r="21" spans="1:4" x14ac:dyDescent="0.2">
      <c r="D21" s="27"/>
    </row>
    <row r="25" spans="1:4" x14ac:dyDescent="0.2">
      <c r="A25" s="28" t="s">
        <v>180</v>
      </c>
    </row>
  </sheetData>
  <hyperlinks>
    <hyperlink ref="A25" r:id="rId1" xr:uid="{D24A6F0B-2836-7642-B1C2-023C296C2D1C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A0198-4F9C-904F-BE1E-43C5D53B316A}">
  <dimension ref="A1:E23"/>
  <sheetViews>
    <sheetView workbookViewId="0">
      <selection activeCell="B30" sqref="B30"/>
    </sheetView>
  </sheetViews>
  <sheetFormatPr baseColWidth="10" defaultRowHeight="16" x14ac:dyDescent="0.2"/>
  <cols>
    <col min="1" max="1" width="27.83203125" customWidth="1"/>
    <col min="2" max="2" width="22.83203125" customWidth="1"/>
    <col min="3" max="3" width="32.6640625" customWidth="1"/>
    <col min="4" max="4" width="22.1640625" customWidth="1"/>
  </cols>
  <sheetData>
    <row r="1" spans="1:5" x14ac:dyDescent="0.2">
      <c r="A1" s="26" t="s">
        <v>111</v>
      </c>
      <c r="B1" s="26" t="s">
        <v>90</v>
      </c>
      <c r="C1" s="1" t="s">
        <v>112</v>
      </c>
      <c r="D1" s="1" t="s">
        <v>138</v>
      </c>
      <c r="E1" s="1"/>
    </row>
    <row r="2" spans="1:5" x14ac:dyDescent="0.2">
      <c r="A2" s="10" t="s">
        <v>77</v>
      </c>
      <c r="B2" s="24" t="s">
        <v>76</v>
      </c>
      <c r="C2" t="s">
        <v>124</v>
      </c>
      <c r="D2" s="27">
        <v>5800</v>
      </c>
    </row>
    <row r="3" spans="1:5" x14ac:dyDescent="0.2">
      <c r="C3" t="s">
        <v>125</v>
      </c>
      <c r="D3" s="27">
        <v>5500</v>
      </c>
    </row>
    <row r="4" spans="1:5" x14ac:dyDescent="0.2">
      <c r="C4" t="s">
        <v>126</v>
      </c>
      <c r="D4" s="27">
        <v>2800</v>
      </c>
    </row>
    <row r="5" spans="1:5" x14ac:dyDescent="0.2">
      <c r="C5" t="s">
        <v>127</v>
      </c>
      <c r="D5" s="27">
        <v>2200</v>
      </c>
    </row>
    <row r="6" spans="1:5" x14ac:dyDescent="0.2">
      <c r="C6" t="s">
        <v>128</v>
      </c>
      <c r="D6" s="27">
        <v>1800</v>
      </c>
    </row>
    <row r="7" spans="1:5" x14ac:dyDescent="0.2">
      <c r="C7" t="s">
        <v>129</v>
      </c>
      <c r="D7" s="27">
        <v>1600</v>
      </c>
    </row>
    <row r="8" spans="1:5" x14ac:dyDescent="0.2">
      <c r="C8" t="s">
        <v>130</v>
      </c>
      <c r="D8" s="27">
        <v>1000</v>
      </c>
    </row>
    <row r="9" spans="1:5" x14ac:dyDescent="0.2">
      <c r="C9" t="s">
        <v>181</v>
      </c>
      <c r="D9" s="27">
        <v>1000</v>
      </c>
    </row>
    <row r="10" spans="1:5" x14ac:dyDescent="0.2">
      <c r="D10" s="27"/>
    </row>
    <row r="11" spans="1:5" x14ac:dyDescent="0.2">
      <c r="D11" s="27"/>
    </row>
    <row r="12" spans="1:5" x14ac:dyDescent="0.2">
      <c r="D12" s="27"/>
    </row>
    <row r="13" spans="1:5" x14ac:dyDescent="0.2">
      <c r="D13" s="27"/>
    </row>
    <row r="14" spans="1:5" x14ac:dyDescent="0.2">
      <c r="A14" s="28" t="s">
        <v>255</v>
      </c>
      <c r="D14" s="27"/>
    </row>
    <row r="15" spans="1:5" x14ac:dyDescent="0.2">
      <c r="D15" s="27"/>
    </row>
    <row r="16" spans="1:5" x14ac:dyDescent="0.2">
      <c r="D16" s="27"/>
    </row>
    <row r="17" spans="4:4" x14ac:dyDescent="0.2">
      <c r="D17" s="27"/>
    </row>
    <row r="18" spans="4:4" x14ac:dyDescent="0.2">
      <c r="D18" s="27"/>
    </row>
    <row r="19" spans="4:4" x14ac:dyDescent="0.2">
      <c r="D19" s="27"/>
    </row>
    <row r="20" spans="4:4" x14ac:dyDescent="0.2">
      <c r="D20" s="27"/>
    </row>
    <row r="21" spans="4:4" x14ac:dyDescent="0.2">
      <c r="D21" s="27"/>
    </row>
    <row r="22" spans="4:4" x14ac:dyDescent="0.2">
      <c r="D22" s="27"/>
    </row>
    <row r="23" spans="4:4" x14ac:dyDescent="0.2">
      <c r="D23" s="27"/>
    </row>
  </sheetData>
  <hyperlinks>
    <hyperlink ref="A14" r:id="rId1" xr:uid="{4080AB7A-306C-8643-BA6A-EE9CA5C0A14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428AB-5EE5-B545-A965-FD43E0C9405D}">
  <dimension ref="A1:E21"/>
  <sheetViews>
    <sheetView workbookViewId="0">
      <selection activeCell="D25" sqref="D25"/>
    </sheetView>
  </sheetViews>
  <sheetFormatPr baseColWidth="10" defaultRowHeight="16" x14ac:dyDescent="0.2"/>
  <cols>
    <col min="1" max="1" width="25.5" customWidth="1"/>
    <col min="2" max="2" width="26.6640625" customWidth="1"/>
    <col min="3" max="3" width="31" customWidth="1"/>
    <col min="4" max="4" width="17.1640625" customWidth="1"/>
  </cols>
  <sheetData>
    <row r="1" spans="1:5" x14ac:dyDescent="0.2">
      <c r="A1" s="26" t="s">
        <v>111</v>
      </c>
      <c r="B1" s="26" t="s">
        <v>90</v>
      </c>
      <c r="C1" s="1" t="s">
        <v>112</v>
      </c>
      <c r="D1" s="1" t="s">
        <v>138</v>
      </c>
      <c r="E1" s="1"/>
    </row>
    <row r="2" spans="1:5" x14ac:dyDescent="0.2">
      <c r="A2" s="9" t="s">
        <v>107</v>
      </c>
      <c r="B2" s="24" t="s">
        <v>75</v>
      </c>
      <c r="C2" t="s">
        <v>131</v>
      </c>
      <c r="D2" s="27">
        <v>9000</v>
      </c>
    </row>
    <row r="3" spans="1:5" x14ac:dyDescent="0.2">
      <c r="C3" t="s">
        <v>132</v>
      </c>
      <c r="D3" s="27">
        <v>4274</v>
      </c>
    </row>
    <row r="4" spans="1:5" x14ac:dyDescent="0.2">
      <c r="C4" t="s">
        <v>133</v>
      </c>
      <c r="D4" s="27">
        <v>3000</v>
      </c>
    </row>
    <row r="5" spans="1:5" x14ac:dyDescent="0.2">
      <c r="C5" t="s">
        <v>134</v>
      </c>
      <c r="D5" s="27">
        <v>2720</v>
      </c>
    </row>
    <row r="6" spans="1:5" x14ac:dyDescent="0.2">
      <c r="C6" t="s">
        <v>135</v>
      </c>
      <c r="D6" s="27">
        <v>2439</v>
      </c>
    </row>
    <row r="7" spans="1:5" x14ac:dyDescent="0.2">
      <c r="C7" t="s">
        <v>136</v>
      </c>
      <c r="D7" s="27">
        <v>2200</v>
      </c>
    </row>
    <row r="8" spans="1:5" x14ac:dyDescent="0.2">
      <c r="C8" t="s">
        <v>137</v>
      </c>
      <c r="D8" s="27">
        <v>2000</v>
      </c>
    </row>
    <row r="9" spans="1:5" x14ac:dyDescent="0.2">
      <c r="C9" t="s">
        <v>182</v>
      </c>
      <c r="D9" s="27">
        <v>1500</v>
      </c>
    </row>
    <row r="10" spans="1:5" x14ac:dyDescent="0.2">
      <c r="D10" s="27"/>
    </row>
    <row r="11" spans="1:5" x14ac:dyDescent="0.2">
      <c r="D11" s="27"/>
    </row>
    <row r="12" spans="1:5" x14ac:dyDescent="0.2">
      <c r="D12" s="27"/>
    </row>
    <row r="13" spans="1:5" x14ac:dyDescent="0.2">
      <c r="D13" s="27"/>
    </row>
    <row r="14" spans="1:5" x14ac:dyDescent="0.2">
      <c r="D14" s="27"/>
    </row>
    <row r="15" spans="1:5" x14ac:dyDescent="0.2">
      <c r="A15" s="28" t="s">
        <v>183</v>
      </c>
      <c r="D15" s="27"/>
    </row>
    <row r="16" spans="1:5" x14ac:dyDescent="0.2">
      <c r="D16" s="27"/>
    </row>
    <row r="17" spans="4:4" x14ac:dyDescent="0.2">
      <c r="D17" s="27"/>
    </row>
    <row r="18" spans="4:4" x14ac:dyDescent="0.2">
      <c r="D18" s="27"/>
    </row>
    <row r="19" spans="4:4" x14ac:dyDescent="0.2">
      <c r="D19" s="27"/>
    </row>
    <row r="20" spans="4:4" x14ac:dyDescent="0.2">
      <c r="D20" s="27"/>
    </row>
    <row r="21" spans="4:4" x14ac:dyDescent="0.2">
      <c r="D21" s="27"/>
    </row>
  </sheetData>
  <hyperlinks>
    <hyperlink ref="A15" r:id="rId1" xr:uid="{63A4B846-196C-B542-A0B3-26BC2376522C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D9678-8BE8-6A4D-A9AA-52661DFBA144}">
  <dimension ref="A1:E13"/>
  <sheetViews>
    <sheetView workbookViewId="0">
      <selection activeCell="C18" sqref="C18"/>
    </sheetView>
  </sheetViews>
  <sheetFormatPr baseColWidth="10" defaultRowHeight="16" x14ac:dyDescent="0.2"/>
  <cols>
    <col min="1" max="1" width="31.33203125" customWidth="1"/>
    <col min="2" max="2" width="29.5" customWidth="1"/>
    <col min="3" max="3" width="24.6640625" customWidth="1"/>
    <col min="4" max="4" width="14.33203125" customWidth="1"/>
  </cols>
  <sheetData>
    <row r="1" spans="1:5" x14ac:dyDescent="0.2">
      <c r="A1" s="26" t="s">
        <v>111</v>
      </c>
      <c r="B1" s="26" t="s">
        <v>90</v>
      </c>
      <c r="C1" s="1" t="s">
        <v>112</v>
      </c>
      <c r="D1" s="1" t="s">
        <v>138</v>
      </c>
      <c r="E1" s="1"/>
    </row>
    <row r="2" spans="1:5" x14ac:dyDescent="0.2">
      <c r="A2" s="8" t="s">
        <v>74</v>
      </c>
      <c r="B2" s="24" t="s">
        <v>73</v>
      </c>
      <c r="C2" t="s">
        <v>176</v>
      </c>
      <c r="D2" s="27">
        <v>8300</v>
      </c>
    </row>
    <row r="3" spans="1:5" x14ac:dyDescent="0.2">
      <c r="C3" t="s">
        <v>185</v>
      </c>
      <c r="D3" s="27">
        <v>7106</v>
      </c>
    </row>
    <row r="4" spans="1:5" x14ac:dyDescent="0.2">
      <c r="A4" t="s">
        <v>184</v>
      </c>
      <c r="C4" t="s">
        <v>186</v>
      </c>
      <c r="D4" s="27">
        <v>7000</v>
      </c>
    </row>
    <row r="5" spans="1:5" x14ac:dyDescent="0.2">
      <c r="C5" t="s">
        <v>187</v>
      </c>
      <c r="D5" s="27">
        <v>5065</v>
      </c>
    </row>
    <row r="6" spans="1:5" x14ac:dyDescent="0.2">
      <c r="C6" t="s">
        <v>188</v>
      </c>
      <c r="D6" s="27">
        <v>4608</v>
      </c>
    </row>
    <row r="7" spans="1:5" x14ac:dyDescent="0.2">
      <c r="C7" t="s">
        <v>189</v>
      </c>
      <c r="D7" s="27">
        <v>2458</v>
      </c>
    </row>
    <row r="8" spans="1:5" x14ac:dyDescent="0.2">
      <c r="C8" t="s">
        <v>190</v>
      </c>
      <c r="D8" s="27">
        <v>1508</v>
      </c>
    </row>
    <row r="9" spans="1:5" x14ac:dyDescent="0.2">
      <c r="C9" t="s">
        <v>191</v>
      </c>
      <c r="D9" s="27">
        <v>1326</v>
      </c>
    </row>
    <row r="10" spans="1:5" x14ac:dyDescent="0.2">
      <c r="C10" t="s">
        <v>192</v>
      </c>
      <c r="D10" s="27">
        <v>1213</v>
      </c>
    </row>
    <row r="11" spans="1:5" x14ac:dyDescent="0.2">
      <c r="D11" s="27"/>
    </row>
    <row r="12" spans="1:5" x14ac:dyDescent="0.2">
      <c r="A12" s="28" t="s">
        <v>256</v>
      </c>
      <c r="D12" s="27"/>
    </row>
    <row r="13" spans="1:5" x14ac:dyDescent="0.2">
      <c r="D13" s="27"/>
    </row>
  </sheetData>
  <hyperlinks>
    <hyperlink ref="A12" r:id="rId1" xr:uid="{A0A27141-6E69-EF4D-A64D-1B6DF1E67E4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AE56B-CFB7-0644-BFC4-B6988A9AF8B2}">
  <dimension ref="A1:E17"/>
  <sheetViews>
    <sheetView workbookViewId="0">
      <selection activeCell="D16" sqref="D16"/>
    </sheetView>
  </sheetViews>
  <sheetFormatPr baseColWidth="10" defaultRowHeight="16" x14ac:dyDescent="0.2"/>
  <cols>
    <col min="1" max="1" width="32" customWidth="1"/>
    <col min="2" max="2" width="16.6640625" customWidth="1"/>
    <col min="3" max="3" width="26" customWidth="1"/>
    <col min="4" max="4" width="21.5" customWidth="1"/>
  </cols>
  <sheetData>
    <row r="1" spans="1:5" x14ac:dyDescent="0.2">
      <c r="A1" s="26" t="s">
        <v>111</v>
      </c>
      <c r="B1" s="26" t="s">
        <v>90</v>
      </c>
      <c r="C1" s="1" t="s">
        <v>112</v>
      </c>
      <c r="D1" s="1" t="s">
        <v>138</v>
      </c>
      <c r="E1" s="1"/>
    </row>
    <row r="2" spans="1:5" x14ac:dyDescent="0.2">
      <c r="A2" s="7" t="s">
        <v>72</v>
      </c>
      <c r="B2" s="24" t="s">
        <v>71</v>
      </c>
      <c r="C2" t="s">
        <v>139</v>
      </c>
      <c r="D2" s="27">
        <v>2500</v>
      </c>
    </row>
    <row r="3" spans="1:5" x14ac:dyDescent="0.2">
      <c r="C3" t="s">
        <v>140</v>
      </c>
      <c r="D3" s="27">
        <v>1000</v>
      </c>
    </row>
    <row r="4" spans="1:5" x14ac:dyDescent="0.2">
      <c r="C4" t="s">
        <v>141</v>
      </c>
      <c r="D4" s="27">
        <v>1000</v>
      </c>
    </row>
    <row r="5" spans="1:5" x14ac:dyDescent="0.2">
      <c r="C5" t="s">
        <v>142</v>
      </c>
      <c r="D5" s="27">
        <v>1000</v>
      </c>
    </row>
    <row r="6" spans="1:5" x14ac:dyDescent="0.2">
      <c r="C6" t="s">
        <v>143</v>
      </c>
      <c r="D6" s="27">
        <v>1000</v>
      </c>
    </row>
    <row r="7" spans="1:5" x14ac:dyDescent="0.2">
      <c r="C7" t="s">
        <v>144</v>
      </c>
      <c r="D7" s="27">
        <v>1000</v>
      </c>
    </row>
    <row r="8" spans="1:5" x14ac:dyDescent="0.2">
      <c r="C8" t="s">
        <v>193</v>
      </c>
      <c r="D8" s="27">
        <v>1000</v>
      </c>
    </row>
    <row r="9" spans="1:5" x14ac:dyDescent="0.2">
      <c r="C9" t="s">
        <v>194</v>
      </c>
      <c r="D9" s="27">
        <v>1000</v>
      </c>
    </row>
    <row r="10" spans="1:5" x14ac:dyDescent="0.2">
      <c r="C10" t="s">
        <v>195</v>
      </c>
      <c r="D10" s="27">
        <v>1000</v>
      </c>
    </row>
    <row r="11" spans="1:5" x14ac:dyDescent="0.2">
      <c r="C11" t="s">
        <v>196</v>
      </c>
      <c r="D11" s="27">
        <v>1000</v>
      </c>
    </row>
    <row r="12" spans="1:5" x14ac:dyDescent="0.2">
      <c r="C12" t="s">
        <v>197</v>
      </c>
      <c r="D12" s="27">
        <v>1000</v>
      </c>
    </row>
    <row r="13" spans="1:5" x14ac:dyDescent="0.2">
      <c r="C13" t="s">
        <v>158</v>
      </c>
      <c r="D13" s="27">
        <v>1000</v>
      </c>
    </row>
    <row r="14" spans="1:5" x14ac:dyDescent="0.2">
      <c r="C14" t="s">
        <v>198</v>
      </c>
      <c r="D14" s="27">
        <v>1000</v>
      </c>
    </row>
    <row r="17" spans="1:1" x14ac:dyDescent="0.2">
      <c r="A17" s="28" t="s">
        <v>260</v>
      </c>
    </row>
  </sheetData>
  <hyperlinks>
    <hyperlink ref="A17" r:id="rId1" xr:uid="{FAE75AF7-5959-FB46-B36F-10B067F8BBDA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B8D2D-FD43-DF40-93D8-EF6BCA080EA4}">
  <dimension ref="A1:E44"/>
  <sheetViews>
    <sheetView workbookViewId="0">
      <selection activeCell="A15" sqref="A15"/>
    </sheetView>
  </sheetViews>
  <sheetFormatPr baseColWidth="10" defaultRowHeight="16" x14ac:dyDescent="0.2"/>
  <cols>
    <col min="1" max="1" width="26" customWidth="1"/>
    <col min="2" max="2" width="23" customWidth="1"/>
    <col min="3" max="3" width="27.1640625" customWidth="1"/>
    <col min="4" max="4" width="16.1640625" customWidth="1"/>
  </cols>
  <sheetData>
    <row r="1" spans="1:5" x14ac:dyDescent="0.2">
      <c r="A1" s="26" t="s">
        <v>111</v>
      </c>
      <c r="B1" s="26" t="s">
        <v>90</v>
      </c>
      <c r="C1" s="1" t="s">
        <v>112</v>
      </c>
      <c r="D1" s="1" t="s">
        <v>138</v>
      </c>
      <c r="E1" s="1"/>
    </row>
    <row r="2" spans="1:5" x14ac:dyDescent="0.2">
      <c r="A2" s="6" t="s">
        <v>70</v>
      </c>
      <c r="B2" s="24" t="s">
        <v>69</v>
      </c>
      <c r="C2" t="s">
        <v>145</v>
      </c>
      <c r="D2" s="27">
        <v>20316</v>
      </c>
    </row>
    <row r="3" spans="1:5" x14ac:dyDescent="0.2">
      <c r="C3" t="s">
        <v>146</v>
      </c>
      <c r="D3" s="27">
        <v>12862</v>
      </c>
    </row>
    <row r="4" spans="1:5" x14ac:dyDescent="0.2">
      <c r="C4" t="s">
        <v>147</v>
      </c>
      <c r="D4" s="27">
        <v>11077</v>
      </c>
    </row>
    <row r="5" spans="1:5" x14ac:dyDescent="0.2">
      <c r="C5" t="s">
        <v>149</v>
      </c>
      <c r="D5" s="27">
        <v>7662</v>
      </c>
    </row>
    <row r="6" spans="1:5" x14ac:dyDescent="0.2">
      <c r="C6" t="s">
        <v>148</v>
      </c>
      <c r="D6" s="27">
        <v>5075</v>
      </c>
    </row>
    <row r="7" spans="1:5" x14ac:dyDescent="0.2">
      <c r="C7" t="s">
        <v>150</v>
      </c>
      <c r="D7" s="27">
        <v>4921</v>
      </c>
    </row>
    <row r="8" spans="1:5" x14ac:dyDescent="0.2">
      <c r="C8" t="s">
        <v>151</v>
      </c>
      <c r="D8" s="27">
        <v>4828</v>
      </c>
    </row>
    <row r="9" spans="1:5" x14ac:dyDescent="0.2">
      <c r="C9" t="s">
        <v>152</v>
      </c>
      <c r="D9" s="27">
        <v>3627</v>
      </c>
    </row>
    <row r="10" spans="1:5" x14ac:dyDescent="0.2">
      <c r="C10" t="s">
        <v>153</v>
      </c>
      <c r="D10" s="27">
        <v>3000</v>
      </c>
    </row>
    <row r="11" spans="1:5" x14ac:dyDescent="0.2">
      <c r="C11" t="s">
        <v>154</v>
      </c>
      <c r="D11" s="27">
        <v>2598</v>
      </c>
    </row>
    <row r="12" spans="1:5" x14ac:dyDescent="0.2">
      <c r="C12" t="s">
        <v>155</v>
      </c>
      <c r="D12" s="27">
        <v>2551</v>
      </c>
    </row>
    <row r="13" spans="1:5" x14ac:dyDescent="0.2">
      <c r="C13" t="s">
        <v>199</v>
      </c>
      <c r="D13" s="27">
        <v>2519</v>
      </c>
    </row>
    <row r="14" spans="1:5" x14ac:dyDescent="0.2">
      <c r="A14" s="28" t="s">
        <v>261</v>
      </c>
      <c r="C14" t="s">
        <v>200</v>
      </c>
      <c r="D14" s="27">
        <v>2283</v>
      </c>
    </row>
    <row r="15" spans="1:5" x14ac:dyDescent="0.2">
      <c r="C15" t="s">
        <v>201</v>
      </c>
      <c r="D15" s="27">
        <v>2246</v>
      </c>
    </row>
    <row r="16" spans="1:5" x14ac:dyDescent="0.2">
      <c r="C16" t="s">
        <v>202</v>
      </c>
      <c r="D16" s="27">
        <v>2192</v>
      </c>
    </row>
    <row r="17" spans="3:4" x14ac:dyDescent="0.2">
      <c r="C17" t="s">
        <v>203</v>
      </c>
      <c r="D17" s="27">
        <v>2055</v>
      </c>
    </row>
    <row r="18" spans="3:4" x14ac:dyDescent="0.2">
      <c r="C18" t="s">
        <v>204</v>
      </c>
      <c r="D18" s="27">
        <v>2000</v>
      </c>
    </row>
    <row r="19" spans="3:4" x14ac:dyDescent="0.2">
      <c r="C19" t="s">
        <v>205</v>
      </c>
      <c r="D19" s="27">
        <v>1900</v>
      </c>
    </row>
    <row r="20" spans="3:4" x14ac:dyDescent="0.2">
      <c r="C20" t="s">
        <v>206</v>
      </c>
      <c r="D20" s="27">
        <v>1789</v>
      </c>
    </row>
    <row r="21" spans="3:4" x14ac:dyDescent="0.2">
      <c r="C21" t="s">
        <v>207</v>
      </c>
      <c r="D21" s="27">
        <v>1730</v>
      </c>
    </row>
    <row r="22" spans="3:4" x14ac:dyDescent="0.2">
      <c r="C22" t="s">
        <v>208</v>
      </c>
      <c r="D22" s="27">
        <v>1669</v>
      </c>
    </row>
    <row r="23" spans="3:4" x14ac:dyDescent="0.2">
      <c r="C23" t="s">
        <v>209</v>
      </c>
      <c r="D23" s="27">
        <v>1636</v>
      </c>
    </row>
    <row r="24" spans="3:4" x14ac:dyDescent="0.2">
      <c r="C24" t="s">
        <v>210</v>
      </c>
      <c r="D24" s="27">
        <v>1635</v>
      </c>
    </row>
    <row r="25" spans="3:4" x14ac:dyDescent="0.2">
      <c r="C25" t="s">
        <v>211</v>
      </c>
      <c r="D25" s="27">
        <v>1625</v>
      </c>
    </row>
    <row r="26" spans="3:4" x14ac:dyDescent="0.2">
      <c r="C26" t="s">
        <v>212</v>
      </c>
      <c r="D26" s="27">
        <v>1508</v>
      </c>
    </row>
    <row r="27" spans="3:4" x14ac:dyDescent="0.2">
      <c r="C27" t="s">
        <v>213</v>
      </c>
      <c r="D27" s="27">
        <v>1500</v>
      </c>
    </row>
    <row r="28" spans="3:4" x14ac:dyDescent="0.2">
      <c r="C28" t="s">
        <v>214</v>
      </c>
      <c r="D28" s="27">
        <v>1446</v>
      </c>
    </row>
    <row r="29" spans="3:4" x14ac:dyDescent="0.2">
      <c r="C29" t="s">
        <v>215</v>
      </c>
      <c r="D29" s="27">
        <v>1435</v>
      </c>
    </row>
    <row r="30" spans="3:4" x14ac:dyDescent="0.2">
      <c r="C30" t="s">
        <v>216</v>
      </c>
      <c r="D30" s="27">
        <v>1400</v>
      </c>
    </row>
    <row r="31" spans="3:4" x14ac:dyDescent="0.2">
      <c r="C31" t="s">
        <v>217</v>
      </c>
      <c r="D31" s="27">
        <v>1400</v>
      </c>
    </row>
    <row r="32" spans="3:4" x14ac:dyDescent="0.2">
      <c r="C32" t="s">
        <v>218</v>
      </c>
      <c r="D32" s="27">
        <v>1385</v>
      </c>
    </row>
    <row r="33" spans="3:4" x14ac:dyDescent="0.2">
      <c r="C33" t="s">
        <v>219</v>
      </c>
      <c r="D33" s="27">
        <v>1300</v>
      </c>
    </row>
    <row r="34" spans="3:4" x14ac:dyDescent="0.2">
      <c r="C34" t="s">
        <v>122</v>
      </c>
      <c r="D34" s="27">
        <v>1300</v>
      </c>
    </row>
    <row r="35" spans="3:4" x14ac:dyDescent="0.2">
      <c r="C35" t="s">
        <v>220</v>
      </c>
      <c r="D35" s="27">
        <v>1271</v>
      </c>
    </row>
    <row r="36" spans="3:4" x14ac:dyDescent="0.2">
      <c r="C36" t="s">
        <v>221</v>
      </c>
      <c r="D36" s="27">
        <v>1245</v>
      </c>
    </row>
    <row r="37" spans="3:4" x14ac:dyDescent="0.2">
      <c r="C37" t="s">
        <v>222</v>
      </c>
      <c r="D37" s="27">
        <v>1133</v>
      </c>
    </row>
    <row r="38" spans="3:4" x14ac:dyDescent="0.2">
      <c r="C38" t="s">
        <v>223</v>
      </c>
      <c r="D38" s="27">
        <v>1110</v>
      </c>
    </row>
    <row r="39" spans="3:4" x14ac:dyDescent="0.2">
      <c r="C39" t="s">
        <v>224</v>
      </c>
      <c r="D39" s="27">
        <v>1092</v>
      </c>
    </row>
    <row r="40" spans="3:4" x14ac:dyDescent="0.2">
      <c r="C40" t="s">
        <v>225</v>
      </c>
      <c r="D40" s="27">
        <v>1044</v>
      </c>
    </row>
    <row r="41" spans="3:4" x14ac:dyDescent="0.2">
      <c r="C41" t="s">
        <v>226</v>
      </c>
      <c r="D41" s="27">
        <v>1027</v>
      </c>
    </row>
    <row r="42" spans="3:4" x14ac:dyDescent="0.2">
      <c r="C42" t="s">
        <v>227</v>
      </c>
      <c r="D42" s="27">
        <v>1026</v>
      </c>
    </row>
    <row r="43" spans="3:4" x14ac:dyDescent="0.2">
      <c r="C43" t="s">
        <v>228</v>
      </c>
      <c r="D43" s="27">
        <v>1000</v>
      </c>
    </row>
    <row r="44" spans="3:4" x14ac:dyDescent="0.2">
      <c r="C44" t="s">
        <v>229</v>
      </c>
      <c r="D44" s="27">
        <v>1000</v>
      </c>
    </row>
  </sheetData>
  <hyperlinks>
    <hyperlink ref="A14" r:id="rId1" xr:uid="{539848C0-3E58-C74D-A414-48D7EFC59B87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9E479-CB2F-ED45-869A-FC2415C90D0D}">
  <dimension ref="A1:E7"/>
  <sheetViews>
    <sheetView workbookViewId="0">
      <selection activeCell="C3" sqref="C3:D6"/>
    </sheetView>
  </sheetViews>
  <sheetFormatPr baseColWidth="10" defaultRowHeight="16" x14ac:dyDescent="0.2"/>
  <cols>
    <col min="1" max="1" width="27.33203125" customWidth="1"/>
    <col min="2" max="2" width="23.1640625" customWidth="1"/>
    <col min="3" max="3" width="31.6640625" customWidth="1"/>
    <col min="4" max="4" width="15.83203125" customWidth="1"/>
  </cols>
  <sheetData>
    <row r="1" spans="1:5" x14ac:dyDescent="0.2">
      <c r="A1" s="26" t="s">
        <v>111</v>
      </c>
      <c r="B1" s="26" t="s">
        <v>90</v>
      </c>
      <c r="C1" s="1" t="s">
        <v>112</v>
      </c>
      <c r="D1" s="1" t="s">
        <v>138</v>
      </c>
      <c r="E1" s="1"/>
    </row>
    <row r="2" spans="1:5" x14ac:dyDescent="0.2">
      <c r="A2" s="5" t="s">
        <v>108</v>
      </c>
      <c r="B2" s="24" t="s">
        <v>68</v>
      </c>
      <c r="C2" t="s">
        <v>156</v>
      </c>
      <c r="D2" s="27">
        <v>2400</v>
      </c>
    </row>
    <row r="7" spans="1:5" x14ac:dyDescent="0.2">
      <c r="A7" s="28" t="s">
        <v>262</v>
      </c>
    </row>
  </sheetData>
  <hyperlinks>
    <hyperlink ref="A7" r:id="rId1" xr:uid="{54CCB1D8-3B9C-4147-AA7F-1D8C8333B2DA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98B9D-FF8C-1F43-AD7B-4D6DF41C6523}">
  <dimension ref="A1:E12"/>
  <sheetViews>
    <sheetView workbookViewId="0">
      <selection activeCell="C3" sqref="C3:D10"/>
    </sheetView>
  </sheetViews>
  <sheetFormatPr baseColWidth="10" defaultRowHeight="16" x14ac:dyDescent="0.2"/>
  <cols>
    <col min="1" max="1" width="27" customWidth="1"/>
    <col min="2" max="2" width="25.33203125" customWidth="1"/>
    <col min="3" max="3" width="29.83203125" customWidth="1"/>
    <col min="4" max="4" width="15" customWidth="1"/>
  </cols>
  <sheetData>
    <row r="1" spans="1:5" x14ac:dyDescent="0.2">
      <c r="A1" s="26" t="s">
        <v>111</v>
      </c>
      <c r="B1" s="26" t="s">
        <v>90</v>
      </c>
      <c r="C1" s="1" t="s">
        <v>112</v>
      </c>
      <c r="D1" s="1" t="s">
        <v>138</v>
      </c>
      <c r="E1" s="1"/>
    </row>
    <row r="2" spans="1:5" x14ac:dyDescent="0.2">
      <c r="A2" s="4" t="s">
        <v>67</v>
      </c>
      <c r="B2" s="24" t="s">
        <v>66</v>
      </c>
      <c r="C2" t="s">
        <v>157</v>
      </c>
      <c r="D2" s="27">
        <v>6000</v>
      </c>
    </row>
    <row r="12" spans="1:5" x14ac:dyDescent="0.2">
      <c r="A12" s="28" t="s">
        <v>263</v>
      </c>
    </row>
  </sheetData>
  <phoneticPr fontId="13" type="noConversion"/>
  <hyperlinks>
    <hyperlink ref="A12" r:id="rId1" xr:uid="{C6211C5D-9D8F-F046-AA9B-C964B8B0D931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8D3E1-EBC1-BC4E-A87E-254F6F76DDEB}">
  <dimension ref="A1:E22"/>
  <sheetViews>
    <sheetView workbookViewId="0">
      <selection activeCell="E1" sqref="E1"/>
    </sheetView>
  </sheetViews>
  <sheetFormatPr baseColWidth="10" defaultRowHeight="16" x14ac:dyDescent="0.2"/>
  <cols>
    <col min="1" max="1" width="31.5" customWidth="1"/>
    <col min="2" max="2" width="25.33203125" customWidth="1"/>
    <col min="3" max="3" width="37.6640625" customWidth="1"/>
  </cols>
  <sheetData>
    <row r="1" spans="1:5" x14ac:dyDescent="0.2">
      <c r="A1" s="26" t="s">
        <v>111</v>
      </c>
      <c r="B1" s="26" t="s">
        <v>90</v>
      </c>
      <c r="C1" s="1" t="s">
        <v>112</v>
      </c>
      <c r="D1" s="1" t="s">
        <v>138</v>
      </c>
      <c r="E1" s="1"/>
    </row>
    <row r="2" spans="1:5" x14ac:dyDescent="0.2">
      <c r="A2" s="3" t="s">
        <v>109</v>
      </c>
      <c r="B2" s="24" t="s">
        <v>65</v>
      </c>
      <c r="C2" t="s">
        <v>159</v>
      </c>
      <c r="D2" s="27">
        <v>5000</v>
      </c>
    </row>
    <row r="3" spans="1:5" x14ac:dyDescent="0.2">
      <c r="C3" t="s">
        <v>160</v>
      </c>
      <c r="D3" s="27">
        <v>4500</v>
      </c>
    </row>
    <row r="4" spans="1:5" x14ac:dyDescent="0.2">
      <c r="C4" t="s">
        <v>161</v>
      </c>
      <c r="D4" s="27">
        <v>3500</v>
      </c>
    </row>
    <row r="5" spans="1:5" x14ac:dyDescent="0.2">
      <c r="C5" t="s">
        <v>162</v>
      </c>
      <c r="D5" s="27">
        <v>3000</v>
      </c>
    </row>
    <row r="6" spans="1:5" x14ac:dyDescent="0.2">
      <c r="C6" t="s">
        <v>163</v>
      </c>
      <c r="D6" s="27">
        <v>3000</v>
      </c>
    </row>
    <row r="7" spans="1:5" x14ac:dyDescent="0.2">
      <c r="C7" t="s">
        <v>164</v>
      </c>
      <c r="D7" s="27">
        <v>2750</v>
      </c>
    </row>
    <row r="8" spans="1:5" x14ac:dyDescent="0.2">
      <c r="C8" t="s">
        <v>165</v>
      </c>
      <c r="D8" s="27">
        <v>2250</v>
      </c>
    </row>
    <row r="9" spans="1:5" x14ac:dyDescent="0.2">
      <c r="C9" t="s">
        <v>166</v>
      </c>
      <c r="D9" s="27">
        <v>2000</v>
      </c>
    </row>
    <row r="10" spans="1:5" x14ac:dyDescent="0.2">
      <c r="C10" t="s">
        <v>167</v>
      </c>
      <c r="D10" s="27">
        <v>2000</v>
      </c>
    </row>
    <row r="11" spans="1:5" x14ac:dyDescent="0.2">
      <c r="C11" t="s">
        <v>168</v>
      </c>
      <c r="D11" s="27">
        <v>1750</v>
      </c>
    </row>
    <row r="12" spans="1:5" x14ac:dyDescent="0.2">
      <c r="C12" t="s">
        <v>230</v>
      </c>
      <c r="D12" s="27">
        <v>1750</v>
      </c>
    </row>
    <row r="13" spans="1:5" x14ac:dyDescent="0.2">
      <c r="C13" t="s">
        <v>231</v>
      </c>
      <c r="D13" s="27">
        <v>1500</v>
      </c>
    </row>
    <row r="14" spans="1:5" x14ac:dyDescent="0.2">
      <c r="C14" t="s">
        <v>232</v>
      </c>
      <c r="D14" s="27">
        <v>1250</v>
      </c>
    </row>
    <row r="15" spans="1:5" x14ac:dyDescent="0.2">
      <c r="C15" t="s">
        <v>238</v>
      </c>
      <c r="D15" s="27">
        <v>1000</v>
      </c>
    </row>
    <row r="16" spans="1:5" x14ac:dyDescent="0.2">
      <c r="C16" t="s">
        <v>233</v>
      </c>
      <c r="D16" s="27">
        <v>1000</v>
      </c>
    </row>
    <row r="17" spans="1:4" x14ac:dyDescent="0.2">
      <c r="C17" t="s">
        <v>234</v>
      </c>
      <c r="D17" s="27">
        <v>1000</v>
      </c>
    </row>
    <row r="18" spans="1:4" x14ac:dyDescent="0.2">
      <c r="C18" t="s">
        <v>235</v>
      </c>
      <c r="D18" s="27">
        <v>1000</v>
      </c>
    </row>
    <row r="19" spans="1:4" x14ac:dyDescent="0.2">
      <c r="C19" t="s">
        <v>236</v>
      </c>
      <c r="D19" s="27">
        <v>1000</v>
      </c>
    </row>
    <row r="20" spans="1:4" x14ac:dyDescent="0.2">
      <c r="C20" t="s">
        <v>237</v>
      </c>
      <c r="D20" s="27">
        <v>1000</v>
      </c>
    </row>
    <row r="22" spans="1:4" x14ac:dyDescent="0.2">
      <c r="A22" s="28" t="s">
        <v>239</v>
      </c>
    </row>
  </sheetData>
  <hyperlinks>
    <hyperlink ref="A22" r:id="rId1" xr:uid="{B0246DDA-017F-964B-81D1-DC6F6531D521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6811B-9DFA-AE47-AEE3-F060AA6DD5E6}">
  <dimension ref="A1:E14"/>
  <sheetViews>
    <sheetView tabSelected="1" workbookViewId="0">
      <selection activeCell="C33" sqref="C33"/>
    </sheetView>
  </sheetViews>
  <sheetFormatPr baseColWidth="10" defaultRowHeight="16" x14ac:dyDescent="0.2"/>
  <cols>
    <col min="1" max="1" width="35" customWidth="1"/>
    <col min="2" max="2" width="22.6640625" customWidth="1"/>
    <col min="3" max="3" width="26.6640625" customWidth="1"/>
    <col min="4" max="4" width="18.5" customWidth="1"/>
  </cols>
  <sheetData>
    <row r="1" spans="1:5" x14ac:dyDescent="0.2">
      <c r="A1" s="26" t="s">
        <v>111</v>
      </c>
      <c r="B1" s="26" t="s">
        <v>90</v>
      </c>
      <c r="C1" s="1" t="s">
        <v>112</v>
      </c>
      <c r="D1" s="1" t="s">
        <v>138</v>
      </c>
      <c r="E1" s="1"/>
    </row>
    <row r="2" spans="1:5" x14ac:dyDescent="0.2">
      <c r="A2" s="2" t="s">
        <v>110</v>
      </c>
      <c r="B2" s="24" t="s">
        <v>64</v>
      </c>
      <c r="C2" t="s">
        <v>240</v>
      </c>
      <c r="D2" s="27">
        <v>15744</v>
      </c>
    </row>
    <row r="3" spans="1:5" x14ac:dyDescent="0.2">
      <c r="C3" t="s">
        <v>241</v>
      </c>
      <c r="D3" s="27">
        <v>10000</v>
      </c>
    </row>
    <row r="4" spans="1:5" x14ac:dyDescent="0.2">
      <c r="C4" t="s">
        <v>242</v>
      </c>
      <c r="D4" s="27">
        <v>7501</v>
      </c>
    </row>
    <row r="5" spans="1:5" x14ac:dyDescent="0.2">
      <c r="C5" t="s">
        <v>243</v>
      </c>
      <c r="D5" s="27">
        <v>3400</v>
      </c>
    </row>
    <row r="6" spans="1:5" x14ac:dyDescent="0.2">
      <c r="C6" t="s">
        <v>169</v>
      </c>
      <c r="D6" s="27">
        <v>2765</v>
      </c>
    </row>
    <row r="7" spans="1:5" x14ac:dyDescent="0.2">
      <c r="C7" t="s">
        <v>244</v>
      </c>
      <c r="D7" s="27">
        <v>3103</v>
      </c>
    </row>
    <row r="8" spans="1:5" x14ac:dyDescent="0.2">
      <c r="C8" t="s">
        <v>245</v>
      </c>
      <c r="D8" s="27">
        <v>2250</v>
      </c>
    </row>
    <row r="9" spans="1:5" x14ac:dyDescent="0.2">
      <c r="C9" t="s">
        <v>246</v>
      </c>
      <c r="D9" s="27">
        <v>1987</v>
      </c>
    </row>
    <row r="10" spans="1:5" x14ac:dyDescent="0.2">
      <c r="C10" t="s">
        <v>247</v>
      </c>
      <c r="D10" s="27">
        <v>1922</v>
      </c>
    </row>
    <row r="11" spans="1:5" x14ac:dyDescent="0.2">
      <c r="C11" t="s">
        <v>248</v>
      </c>
      <c r="D11" s="27">
        <v>1750</v>
      </c>
    </row>
    <row r="12" spans="1:5" x14ac:dyDescent="0.2">
      <c r="C12" t="s">
        <v>249</v>
      </c>
      <c r="D12" s="27">
        <v>1176</v>
      </c>
    </row>
    <row r="14" spans="1:5" x14ac:dyDescent="0.2">
      <c r="A14" s="28" t="s">
        <v>264</v>
      </c>
    </row>
  </sheetData>
  <hyperlinks>
    <hyperlink ref="A14" r:id="rId1" xr:uid="{55377681-6AA3-3747-8A8A-B003FD45969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Population &amp; Dispoable Income</vt:lpstr>
      <vt:lpstr>Apparel Brand Partnerships</vt:lpstr>
      <vt:lpstr>Collectives</vt:lpstr>
      <vt:lpstr>NCAA Tourneys (since 2016)</vt:lpstr>
      <vt:lpstr>Top Businesses (Illinois)</vt:lpstr>
      <vt:lpstr>Top Businesses (Indiana)</vt:lpstr>
      <vt:lpstr>Top Businesses (Iowa)</vt:lpstr>
      <vt:lpstr>Top Businesses (Maryland)</vt:lpstr>
      <vt:lpstr>Top Businesses (Michigan)</vt:lpstr>
      <vt:lpstr>Top Businesses (Michigan State)</vt:lpstr>
      <vt:lpstr>Top Businesses (Minnesota)</vt:lpstr>
      <vt:lpstr>Top Businesses (Nebraska)</vt:lpstr>
      <vt:lpstr>Top Businesses (Ohio State)</vt:lpstr>
      <vt:lpstr>Top Businesses (Penn State)</vt:lpstr>
      <vt:lpstr>Top Businesses (Purdue)</vt:lpstr>
      <vt:lpstr>Top Busineses (Rutgers)</vt:lpstr>
      <vt:lpstr>Top Businesses (Wisconsin)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2022-11-09T20:36:04Z</dcterms:created>
  <dcterms:modified xsi:type="dcterms:W3CDTF">2022-11-18T19:04:21Z</dcterms:modified>
</cp:coreProperties>
</file>